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definedNames>
    <definedName function="false" hidden="false" localSheetId="0" name="Excel_BuiltIn_Print_Area" vbProcedure="false">#REF!</definedName>
    <definedName function="false" hidden="false" localSheetId="0" name="Excel_BuiltIn__FilterDatabase" vbProcedure="false">#REF!</definedName>
    <definedName function="false" hidden="false" localSheetId="0" name="_xlnm.Print_Are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<sst xmlns="http://schemas.openxmlformats.org/spreadsheetml/2006/main" count="5" uniqueCount="5">
  <si>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FECHA</t>
  </si>
  <si>
    <t xml:space="preserve">COMPRA</t>
  </si>
  <si>
    <t xml:space="preserve">VENTA</t>
  </si>
  <si>
    <t xml:space="preserve">compra</t>
  </si>
  <si>
    <t xml:space="preserve">venta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</si>
</sst>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dd/mm/yyyy"/>
    <numFmt numFmtId="167" formatCode="General"/>
    <numFmt numFmtId="168" formatCode="0.0"/>
    <numFmt numFmtId="169" formatCode="0.00"/>
    <numFmt numFmtId="170" formatCode="[$-C0A]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0"/>
      <color rgb="FF808080"/>
      <name val="Inherit"/>
      <family val="0"/>
      <charset val="1"/>
    </font>
    <font>
      <sz val="10"/>
      <color rgb="FF80808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/>
      <diagonal/>
    </border>
    <border diagonalUp="false" diagonalDown="false">
      <left/>
      <right/>
      <top style="medium">
        <color rgb="FFFFFFF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8" fontId="5" fillId="4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ambito.com/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0</xdr:rowOff>
    </xdr:from>
    <xdr:to>
      <xdr:col>0</xdr:col>
      <xdr:colOff>280440</xdr:colOff>
      <xdr:row>34</xdr:row>
      <xdr:rowOff>55800</xdr:rowOff>
    </xdr:to>
    <xdr:sp>
      <xdr:nvSpPr>
        <xdr:cNvPr id="0" name="AutoShape 1">
          <a:hlinkClick r:id="rId1"/>
        </xdr:cNvPr>
        <xdr:cNvSpPr/>
      </xdr:nvSpPr>
      <xdr:spPr>
        <a:xfrm>
          <a:off x="0" y="6286680"/>
          <a:ext cx="280440" cy="263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J9" activeCellId="0" sqref="J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.45"/>
    <col collapsed="false" customWidth="true" hidden="false" outlineLevel="0" max="3" min="3" style="1" width="8.18"/>
    <col collapsed="false" customWidth="true" hidden="false" outlineLevel="0" max="4" min="4" style="1" width="11.37"/>
    <col collapsed="false" customWidth="true" hidden="false" outlineLevel="0" max="5" min="5" style="1" width="12.73"/>
    <col collapsed="false" customWidth="true" hidden="false" outlineLevel="0" max="6" min="6" style="1" width="15.64"/>
    <col collapsed="false" customWidth="true" hidden="false" outlineLevel="0" max="8" min="7" style="1" width="12.54"/>
    <col collapsed="false" customWidth="true" hidden="false" outlineLevel="0" max="10" min="9" style="1" width="11.27"/>
    <col collapsed="false" customWidth="true" hidden="false" outlineLevel="0" max="16384" min="16377" style="1" width="10.18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customFormat="false" ht="15" hidden="false" customHeight="false" outlineLevel="0" collapsed="false">
      <c r="A2" s="4" t="n">
        <v>42734</v>
      </c>
      <c r="B2" s="5" t="n">
        <v>16.47</v>
      </c>
      <c r="C2" s="5" t="n">
        <v>16.87</v>
      </c>
      <c r="D2" s="5" t="n">
        <f aca="false">+(B2+C2)/2</f>
        <v>16.67</v>
      </c>
      <c r="E2" s="6" t="n">
        <f aca="false">+C2-B2</f>
        <v>0.400000000000002</v>
      </c>
      <c r="F2" s="7" t="n">
        <v>0</v>
      </c>
      <c r="G2" s="7" t="n">
        <v>0</v>
      </c>
    </row>
    <row r="3" customFormat="false" ht="15" hidden="false" customHeight="false" outlineLevel="0" collapsed="false">
      <c r="A3" s="4" t="n">
        <v>42766</v>
      </c>
      <c r="B3" s="5" t="n">
        <v>16.24</v>
      </c>
      <c r="C3" s="5" t="n">
        <v>16.64</v>
      </c>
      <c r="D3" s="5" t="n">
        <f aca="false">+(B3+C3)/2</f>
        <v>16.44</v>
      </c>
      <c r="E3" s="6" t="n">
        <f aca="false">+C3-B3</f>
        <v>0.400000000000002</v>
      </c>
      <c r="F3" s="8" t="n">
        <f aca="false">+LN(B3/B2)*100</f>
        <v>-1.40632094560171</v>
      </c>
      <c r="G3" s="8" t="n">
        <f aca="false">+LN(C3/C2)*100</f>
        <v>-1.37274611648145</v>
      </c>
      <c r="H3" s="9" t="n">
        <v>-1.40632094560171</v>
      </c>
      <c r="I3" s="9" t="n">
        <v>-1.37274611648145</v>
      </c>
    </row>
    <row r="4" customFormat="false" ht="15" hidden="false" customHeight="false" outlineLevel="0" collapsed="false">
      <c r="A4" s="4" t="n">
        <v>42790</v>
      </c>
      <c r="B4" s="5" t="n">
        <v>15.88</v>
      </c>
      <c r="C4" s="5" t="n">
        <v>16.28</v>
      </c>
      <c r="D4" s="5" t="n">
        <f aca="false">+(B4+C4)/2</f>
        <v>16.08</v>
      </c>
      <c r="E4" s="6" t="n">
        <f aca="false">+C4-B4</f>
        <v>0.4</v>
      </c>
      <c r="F4" s="8" t="n">
        <f aca="false">+LN(B4/B3)*100</f>
        <v>-2.2416878914542</v>
      </c>
      <c r="G4" s="8" t="n">
        <f aca="false">+LN(C4/C3)*100</f>
        <v>-2.18720748186682</v>
      </c>
      <c r="H4" s="9" t="n">
        <f aca="false">+LN(D4/D3)*100</f>
        <v>-2.21411258772137</v>
      </c>
      <c r="I4" s="9" t="n">
        <v>-2.21411258772137</v>
      </c>
      <c r="J4" s="5"/>
      <c r="K4" s="5"/>
    </row>
    <row r="5" customFormat="false" ht="15" hidden="false" customHeight="false" outlineLevel="0" collapsed="false">
      <c r="A5" s="4" t="n">
        <v>42825</v>
      </c>
      <c r="B5" s="5" t="n">
        <v>15.58</v>
      </c>
      <c r="C5" s="5" t="n">
        <v>15.98</v>
      </c>
      <c r="D5" s="5" t="n">
        <f aca="false">+(B5+C5)/2</f>
        <v>15.78</v>
      </c>
      <c r="E5" s="6" t="n">
        <f aca="false">+C5-B5</f>
        <v>0.4</v>
      </c>
      <c r="F5" s="8" t="n">
        <f aca="false">+LN(B5/B4)*100</f>
        <v>-1.90724153763875</v>
      </c>
      <c r="G5" s="8" t="n">
        <f aca="false">+LN(C5/C4)*100</f>
        <v>-1.85994202362656</v>
      </c>
      <c r="H5" s="9" t="n">
        <v>-1.90724153763875</v>
      </c>
      <c r="I5" s="9" t="n">
        <v>-1.85994202362656</v>
      </c>
    </row>
    <row r="6" customFormat="false" ht="15" hidden="false" customHeight="false" outlineLevel="0" collapsed="false">
      <c r="A6" s="4" t="n">
        <v>42853</v>
      </c>
      <c r="B6" s="5" t="n">
        <v>15.59</v>
      </c>
      <c r="C6" s="5" t="n">
        <v>15.99</v>
      </c>
      <c r="D6" s="5" t="n">
        <f aca="false">+(B6+C6)/2</f>
        <v>15.79</v>
      </c>
      <c r="E6" s="6" t="n">
        <f aca="false">+C6-B6</f>
        <v>0.4</v>
      </c>
      <c r="F6" s="8" t="n">
        <f aca="false">+LN(B6/B5)*100</f>
        <v>0.064164262708304</v>
      </c>
      <c r="G6" s="8" t="n">
        <f aca="false">+LN(C6/C5)*100</f>
        <v>0.0625586507734168</v>
      </c>
      <c r="H6" s="9" t="n">
        <v>0.064164262708304</v>
      </c>
      <c r="I6" s="9" t="n">
        <v>0.0625586507734168</v>
      </c>
    </row>
    <row r="7" customFormat="false" ht="15" hidden="false" customHeight="false" outlineLevel="0" collapsed="false">
      <c r="A7" s="10" t="n">
        <v>42886</v>
      </c>
      <c r="B7" s="11" t="n">
        <v>15.99</v>
      </c>
      <c r="C7" s="11" t="n">
        <v>16.39</v>
      </c>
      <c r="D7" s="11" t="n">
        <f aca="false">+(B7+C7)/2</f>
        <v>16.19</v>
      </c>
      <c r="E7" s="12" t="n">
        <f aca="false">+C7-B7</f>
        <v>0.4</v>
      </c>
      <c r="F7" s="8" t="n">
        <f aca="false">+LN(B7/B6)*100</f>
        <v>2.53338437761777</v>
      </c>
      <c r="G7" s="8" t="n">
        <f aca="false">+LN(C7/C6)*100</f>
        <v>2.47078659098754</v>
      </c>
      <c r="H7" s="9" t="n">
        <v>2.53338437761777</v>
      </c>
      <c r="I7" s="9" t="n">
        <v>2.47078659098754</v>
      </c>
    </row>
    <row r="8" customFormat="false" ht="15" hidden="false" customHeight="false" outlineLevel="0" collapsed="false">
      <c r="A8" s="4" t="n">
        <v>42916</v>
      </c>
      <c r="B8" s="5" t="n">
        <v>16.44</v>
      </c>
      <c r="C8" s="5" t="n">
        <v>16.84</v>
      </c>
      <c r="D8" s="5" t="n">
        <f aca="false">+(B8+C8)/2</f>
        <v>16.64</v>
      </c>
      <c r="E8" s="6" t="n">
        <f aca="false">+C8-B8</f>
        <v>0.399999999999999</v>
      </c>
      <c r="F8" s="8" t="n">
        <f aca="false">+LN(B8/B7)*100</f>
        <v>2.77538627821711</v>
      </c>
      <c r="G8" s="8" t="n">
        <f aca="false">+LN(C8/C7)*100</f>
        <v>2.70856160584423</v>
      </c>
      <c r="H8" s="9" t="n">
        <v>2.77538627821711</v>
      </c>
      <c r="I8" s="9" t="n">
        <v>2.70856160584423</v>
      </c>
    </row>
    <row r="9" customFormat="false" ht="15" hidden="false" customHeight="false" outlineLevel="0" collapsed="false">
      <c r="A9" s="10" t="n">
        <v>42947</v>
      </c>
      <c r="B9" s="11" t="n">
        <v>17.65</v>
      </c>
      <c r="C9" s="11" t="n">
        <v>18.09</v>
      </c>
      <c r="D9" s="11" t="n">
        <f aca="false">+(B9+C9)/2</f>
        <v>17.87</v>
      </c>
      <c r="E9" s="12" t="n">
        <f aca="false">+C9-B9</f>
        <v>0.440000000000001</v>
      </c>
      <c r="F9" s="8" t="n">
        <f aca="false">+LN(B9/B8)*100</f>
        <v>7.10183937512719</v>
      </c>
      <c r="G9" s="8" t="n">
        <f aca="false">+LN(C9/C8)*100</f>
        <v>7.16022905930232</v>
      </c>
      <c r="H9" s="9" t="n">
        <v>7.10183937512719</v>
      </c>
      <c r="I9" s="9" t="n">
        <v>7.16022905930232</v>
      </c>
    </row>
    <row r="10" customFormat="false" ht="15" hidden="false" customHeight="false" outlineLevel="0" collapsed="false">
      <c r="A10" s="10" t="n">
        <v>42978</v>
      </c>
      <c r="B10" s="11" t="n">
        <v>17.83</v>
      </c>
      <c r="C10" s="11" t="n">
        <v>18.23</v>
      </c>
      <c r="D10" s="11" t="n">
        <f aca="false">+(B10+C10)/2</f>
        <v>18.03</v>
      </c>
      <c r="E10" s="12" t="n">
        <f aca="false">+C10-B10</f>
        <v>0.400000000000002</v>
      </c>
      <c r="F10" s="8" t="n">
        <f aca="false">+LN(B10/B9)*100</f>
        <v>1.01466484957433</v>
      </c>
      <c r="G10" s="8" t="n">
        <f aca="false">+LN(C10/C9)*100</f>
        <v>0.770928928336787</v>
      </c>
      <c r="H10" s="9" t="n">
        <v>1.01466484957433</v>
      </c>
      <c r="I10" s="9" t="n">
        <v>0.770928928336787</v>
      </c>
    </row>
    <row r="11" customFormat="false" ht="15" hidden="false" customHeight="false" outlineLevel="0" collapsed="false">
      <c r="A11" s="4" t="n">
        <v>43007</v>
      </c>
      <c r="B11" s="5" t="n">
        <v>17.51</v>
      </c>
      <c r="C11" s="5" t="n">
        <v>17.91</v>
      </c>
      <c r="D11" s="5" t="n">
        <f aca="false">+(B11+C11)/2</f>
        <v>17.71</v>
      </c>
      <c r="E11" s="6" t="n">
        <f aca="false">+C11-B11</f>
        <v>0.399999999999999</v>
      </c>
      <c r="F11" s="8" t="n">
        <f aca="false">+LN(B11/B10)*100</f>
        <v>-1.81102855772884</v>
      </c>
      <c r="G11" s="8" t="n">
        <f aca="false">+LN(C11/C10)*100</f>
        <v>-1.77093726179513</v>
      </c>
      <c r="H11" s="9" t="n">
        <v>-1.81102855772884</v>
      </c>
      <c r="I11" s="9" t="n">
        <v>-1.77093726179513</v>
      </c>
    </row>
    <row r="12" customFormat="false" ht="15" hidden="false" customHeight="false" outlineLevel="0" collapsed="false">
      <c r="A12" s="10" t="n">
        <v>43039</v>
      </c>
      <c r="B12" s="11" t="n">
        <v>17.7</v>
      </c>
      <c r="C12" s="11" t="n">
        <v>18.1</v>
      </c>
      <c r="D12" s="11" t="n">
        <f aca="false">+(B12+C12)/2</f>
        <v>17.9</v>
      </c>
      <c r="E12" s="12" t="n">
        <f aca="false">+C12-B12</f>
        <v>0.400000000000002</v>
      </c>
      <c r="F12" s="8" t="n">
        <f aca="false">+LN(B12/B11)*100</f>
        <v>1.07924932820228</v>
      </c>
      <c r="G12" s="8" t="n">
        <f aca="false">+LN(C12/C11)*100</f>
        <v>1.05527221991597</v>
      </c>
      <c r="H12" s="9" t="n">
        <v>1.07924932820228</v>
      </c>
      <c r="I12" s="9" t="n">
        <v>1.05527221991597</v>
      </c>
    </row>
    <row r="13" customFormat="false" ht="15" hidden="false" customHeight="false" outlineLevel="0" collapsed="false">
      <c r="A13" s="10" t="n">
        <v>43069</v>
      </c>
      <c r="B13" s="11" t="n">
        <v>17.56</v>
      </c>
      <c r="C13" s="11" t="n">
        <v>17.96</v>
      </c>
      <c r="D13" s="11" t="n">
        <f aca="false">+(B13+C13)/2</f>
        <v>17.76</v>
      </c>
      <c r="E13" s="12" t="n">
        <f aca="false">+C13-B13</f>
        <v>0.400000000000002</v>
      </c>
      <c r="F13" s="8" t="n">
        <f aca="false">+LN(B13/B12)*100</f>
        <v>-0.794105137281292</v>
      </c>
      <c r="G13" s="8" t="n">
        <f aca="false">+LN(C13/C12)*100</f>
        <v>-0.776487539772654</v>
      </c>
      <c r="H13" s="9" t="n">
        <v>-0.794105137281292</v>
      </c>
      <c r="I13" s="9" t="n">
        <v>-0.776487539772654</v>
      </c>
    </row>
    <row r="14" customFormat="false" ht="15" hidden="false" customHeight="false" outlineLevel="0" collapsed="false">
      <c r="A14" s="4" t="n">
        <v>43098</v>
      </c>
      <c r="B14" s="5" t="n">
        <v>18.88</v>
      </c>
      <c r="C14" s="5" t="n">
        <v>19.28</v>
      </c>
      <c r="D14" s="5" t="n">
        <f aca="false">+(B14+C14)/2</f>
        <v>19.08</v>
      </c>
      <c r="E14" s="6" t="n">
        <f aca="false">+C14-B14</f>
        <v>0.400000000000002</v>
      </c>
      <c r="F14" s="8" t="n">
        <f aca="false">+LN(B14/B13)*100</f>
        <v>7.24795725103841</v>
      </c>
      <c r="G14" s="8" t="n">
        <f aca="false">+LN(C14/C13)*100</f>
        <v>7.0921226308346</v>
      </c>
      <c r="H14" s="9" t="n">
        <v>7.24795725103841</v>
      </c>
      <c r="I14" s="9" t="n">
        <v>7.0921226308346</v>
      </c>
    </row>
    <row r="15" customFormat="false" ht="15" hidden="false" customHeight="false" outlineLevel="0" collapsed="false">
      <c r="A15" s="4" t="n">
        <v>43131</v>
      </c>
      <c r="B15" s="5" t="n">
        <v>19.55</v>
      </c>
      <c r="C15" s="5" t="n">
        <v>19.95</v>
      </c>
      <c r="D15" s="5" t="n">
        <f aca="false">+(B15+C15)/2</f>
        <v>19.75</v>
      </c>
      <c r="E15" s="6" t="n">
        <f aca="false">+C15-B15</f>
        <v>0.399999999999999</v>
      </c>
      <c r="F15" s="8" t="n">
        <f aca="false">+LN(B15/B14)*100</f>
        <v>3.48721257140201</v>
      </c>
      <c r="G15" s="8" t="n">
        <f aca="false">+LN(C15/C14)*100</f>
        <v>3.41608541534728</v>
      </c>
      <c r="H15" s="9" t="n">
        <v>3.48721257140201</v>
      </c>
      <c r="I15" s="9" t="n">
        <v>3.41608541534728</v>
      </c>
    </row>
    <row r="16" customFormat="false" ht="15" hidden="false" customHeight="false" outlineLevel="0" collapsed="false">
      <c r="A16" s="10" t="n">
        <v>43159</v>
      </c>
      <c r="B16" s="11" t="n">
        <v>19.95</v>
      </c>
      <c r="C16" s="11" t="n">
        <v>20.35</v>
      </c>
      <c r="D16" s="11" t="n">
        <f aca="false">+(B16+C16)/2</f>
        <v>20.15</v>
      </c>
      <c r="E16" s="12" t="n">
        <f aca="false">+C16-B16</f>
        <v>0.400000000000002</v>
      </c>
      <c r="F16" s="8" t="n">
        <f aca="false">+LN(B16/B15)*100</f>
        <v>2.02538569044976</v>
      </c>
      <c r="G16" s="8" t="n">
        <f aca="false">+LN(C16/C15)*100</f>
        <v>1.98517685527315</v>
      </c>
      <c r="H16" s="9" t="n">
        <v>2.02538569044976</v>
      </c>
      <c r="I16" s="9" t="n">
        <v>1.98517685527315</v>
      </c>
    </row>
    <row r="17" customFormat="false" ht="15" hidden="false" customHeight="false" outlineLevel="0" collapsed="false">
      <c r="A17" s="10" t="n">
        <v>43187</v>
      </c>
      <c r="B17" s="11" t="n">
        <v>20.36</v>
      </c>
      <c r="C17" s="11" t="n">
        <v>20.76</v>
      </c>
      <c r="D17" s="11" t="n">
        <f aca="false">+(B17+C17)/2</f>
        <v>20.56</v>
      </c>
      <c r="E17" s="12" t="n">
        <f aca="false">+C17-B17</f>
        <v>0.400000000000002</v>
      </c>
      <c r="F17" s="8" t="n">
        <f aca="false">+LN(B17/B16)*100</f>
        <v>2.03430483464496</v>
      </c>
      <c r="G17" s="8" t="n">
        <f aca="false">+LN(C17/C16)*100</f>
        <v>1.99471464090839</v>
      </c>
      <c r="H17" s="9" t="n">
        <v>2.03430483464496</v>
      </c>
      <c r="I17" s="9" t="n">
        <v>1.99471464090839</v>
      </c>
    </row>
    <row r="18" customFormat="false" ht="15" hidden="false" customHeight="false" outlineLevel="0" collapsed="false">
      <c r="A18" s="4" t="n">
        <v>43217</v>
      </c>
      <c r="B18" s="5" t="n">
        <v>20.6</v>
      </c>
      <c r="C18" s="5" t="n">
        <v>21</v>
      </c>
      <c r="D18" s="5" t="n">
        <f aca="false">+(B18+C18)/2</f>
        <v>20.8</v>
      </c>
      <c r="E18" s="6" t="n">
        <f aca="false">+C18-B18</f>
        <v>0.399999999999999</v>
      </c>
      <c r="F18" s="8" t="n">
        <f aca="false">+LN(B18/B17)*100</f>
        <v>1.17188841132135</v>
      </c>
      <c r="G18" s="8" t="n">
        <f aca="false">+LN(C18/C17)*100</f>
        <v>1.1494379425735</v>
      </c>
      <c r="H18" s="9" t="n">
        <v>1.17188841132135</v>
      </c>
      <c r="I18" s="9" t="n">
        <v>1.1494379425735</v>
      </c>
    </row>
    <row r="19" customFormat="false" ht="15" hidden="false" customHeight="false" outlineLevel="0" collapsed="false">
      <c r="A19" s="10" t="n">
        <v>43251</v>
      </c>
      <c r="B19" s="11" t="n">
        <v>25.17</v>
      </c>
      <c r="C19" s="11" t="n">
        <v>25.97</v>
      </c>
      <c r="D19" s="11" t="n">
        <f aca="false">+(B19+C19)/2</f>
        <v>25.57</v>
      </c>
      <c r="E19" s="12" t="n">
        <f aca="false">+C19-B19</f>
        <v>0.799999999999997</v>
      </c>
      <c r="F19" s="8" t="n">
        <f aca="false">+LN(B19/B18)*100</f>
        <v>20.0361733351689</v>
      </c>
      <c r="G19" s="8" t="n">
        <f aca="false">+LN(C19/C18)*100</f>
        <v>21.2419587951234</v>
      </c>
      <c r="H19" s="9" t="n">
        <v>20.0361733351689</v>
      </c>
      <c r="I19" s="9" t="n">
        <v>21.2419587951234</v>
      </c>
    </row>
    <row r="20" customFormat="false" ht="15" hidden="false" customHeight="false" outlineLevel="0" collapsed="false">
      <c r="A20" s="10" t="n">
        <v>43280</v>
      </c>
      <c r="B20" s="11" t="n">
        <v>28.4</v>
      </c>
      <c r="C20" s="11" t="n">
        <v>29.4</v>
      </c>
      <c r="D20" s="11" t="n">
        <f aca="false">+(B20+C20)/2</f>
        <v>28.9</v>
      </c>
      <c r="E20" s="12" t="n">
        <f aca="false">+C20-B20</f>
        <v>1</v>
      </c>
      <c r="F20" s="8" t="n">
        <f aca="false">+LN(B20/B19)*100</f>
        <v>12.0736336019936</v>
      </c>
      <c r="G20" s="8" t="n">
        <f aca="false">+LN(C20/C19)*100</f>
        <v>12.4052648669979</v>
      </c>
      <c r="H20" s="9" t="n">
        <v>12.0736336019936</v>
      </c>
      <c r="I20" s="9" t="n">
        <v>12.4052648669979</v>
      </c>
    </row>
    <row r="21" customFormat="false" ht="15" hidden="false" customHeight="false" outlineLevel="0" collapsed="false">
      <c r="A21" s="4" t="n">
        <v>43312</v>
      </c>
      <c r="B21" s="5" t="n">
        <v>27.45</v>
      </c>
      <c r="C21" s="5" t="n">
        <v>28.45</v>
      </c>
      <c r="D21" s="5" t="n">
        <f aca="false">+(B21+C21)/2</f>
        <v>27.95</v>
      </c>
      <c r="E21" s="6" t="n">
        <f aca="false">+C21-B21</f>
        <v>1</v>
      </c>
      <c r="F21" s="8" t="n">
        <f aca="false">+LN(B21/B20)*100</f>
        <v>-3.40229772116207</v>
      </c>
      <c r="G21" s="8" t="n">
        <f aca="false">+LN(C21/C20)*100</f>
        <v>-3.2846513772296</v>
      </c>
      <c r="H21" s="9" t="n">
        <v>-3.40229772116207</v>
      </c>
      <c r="I21" s="9" t="n">
        <v>-3.2846513772296</v>
      </c>
    </row>
    <row r="22" customFormat="false" ht="15" hidden="false" customHeight="false" outlineLevel="0" collapsed="false">
      <c r="A22" s="4" t="n">
        <v>43343</v>
      </c>
      <c r="B22" s="5" t="n">
        <v>36</v>
      </c>
      <c r="C22" s="5" t="n">
        <v>38</v>
      </c>
      <c r="D22" s="5" t="n">
        <f aca="false">+(B22+C22)/2</f>
        <v>37</v>
      </c>
      <c r="E22" s="6" t="n">
        <f aca="false">+C22-B22</f>
        <v>2</v>
      </c>
      <c r="F22" s="8" t="n">
        <f aca="false">+LN(B22/B21)*100</f>
        <v>27.115277050057</v>
      </c>
      <c r="G22" s="8" t="n">
        <f aca="false">+LN(C22/C21)*100</f>
        <v>28.9437999154046</v>
      </c>
      <c r="H22" s="9" t="n">
        <v>27.115277050057</v>
      </c>
      <c r="I22" s="9" t="n">
        <v>28.9437999154046</v>
      </c>
    </row>
    <row r="23" customFormat="false" ht="15" hidden="false" customHeight="false" outlineLevel="0" collapsed="false">
      <c r="A23" s="4" t="n">
        <v>43371</v>
      </c>
      <c r="B23" s="5" t="n">
        <v>39.3</v>
      </c>
      <c r="C23" s="5" t="n">
        <v>41.3</v>
      </c>
      <c r="D23" s="5" t="n">
        <f aca="false">+(B23+C23)/2</f>
        <v>40.3</v>
      </c>
      <c r="E23" s="6" t="n">
        <f aca="false">+C23-B23</f>
        <v>2</v>
      </c>
      <c r="F23" s="8" t="n">
        <f aca="false">+LN(B23/B22)*100</f>
        <v>8.77055804191055</v>
      </c>
      <c r="G23" s="8" t="n">
        <f aca="false">+LN(C23/C22)*100</f>
        <v>8.32763402406012</v>
      </c>
      <c r="H23" s="9" t="n">
        <v>8.77055804191055</v>
      </c>
      <c r="I23" s="9" t="n">
        <v>8.32763402406012</v>
      </c>
    </row>
    <row r="24" customFormat="false" ht="15" hidden="false" customHeight="false" outlineLevel="0" collapsed="false">
      <c r="A24" s="4" t="n">
        <v>43404</v>
      </c>
      <c r="B24" s="5" t="n">
        <v>34.5</v>
      </c>
      <c r="C24" s="5" t="n">
        <v>36.5</v>
      </c>
      <c r="D24" s="5" t="n">
        <f aca="false">+(B24+C24)/2</f>
        <v>35.5</v>
      </c>
      <c r="E24" s="6" t="n">
        <f aca="false">+C24-B24</f>
        <v>2</v>
      </c>
      <c r="F24" s="8" t="n">
        <f aca="false">+LN(B24/B23)*100</f>
        <v>-13.0265194837901</v>
      </c>
      <c r="G24" s="8" t="n">
        <f aca="false">+LN(C24/C23)*100</f>
        <v>-12.3550239378541</v>
      </c>
      <c r="H24" s="9" t="n">
        <v>-13.0265194837901</v>
      </c>
      <c r="I24" s="9" t="n">
        <v>-12.3550239378541</v>
      </c>
    </row>
    <row r="25" customFormat="false" ht="15" hidden="false" customHeight="false" outlineLevel="0" collapsed="false">
      <c r="A25" s="10" t="n">
        <v>43433</v>
      </c>
      <c r="B25" s="11" t="n">
        <v>36</v>
      </c>
      <c r="C25" s="11" t="n">
        <v>38</v>
      </c>
      <c r="D25" s="11" t="n">
        <f aca="false">+(B25+C25)/2</f>
        <v>37</v>
      </c>
      <c r="E25" s="12" t="n">
        <f aca="false">+C25-B25</f>
        <v>2</v>
      </c>
      <c r="F25" s="8" t="n">
        <f aca="false">+LN(B25/B24)*100</f>
        <v>4.25596144187959</v>
      </c>
      <c r="G25" s="8" t="n">
        <f aca="false">+LN(C25/C24)*100</f>
        <v>4.02738991379399</v>
      </c>
      <c r="H25" s="9" t="n">
        <v>4.25596144187959</v>
      </c>
      <c r="I25" s="9" t="n">
        <v>4.02738991379399</v>
      </c>
    </row>
    <row r="26" customFormat="false" ht="15" hidden="false" customHeight="false" outlineLevel="0" collapsed="false">
      <c r="A26" s="10" t="n">
        <v>43462</v>
      </c>
      <c r="B26" s="11" t="n">
        <v>38.5</v>
      </c>
      <c r="C26" s="11" t="n">
        <v>40.5</v>
      </c>
      <c r="D26" s="11" t="n">
        <f aca="false">+(B26+C26)/2</f>
        <v>39.5</v>
      </c>
      <c r="E26" s="12" t="n">
        <f aca="false">+C26-B26</f>
        <v>2</v>
      </c>
      <c r="F26" s="8" t="n">
        <f aca="false">+LN(B26/B25)*100</f>
        <v>6.71393028376285</v>
      </c>
      <c r="G26" s="8" t="n">
        <f aca="false">+LN(C26/C25)*100</f>
        <v>6.37158143861078</v>
      </c>
      <c r="H26" s="9" t="n">
        <v>6.71393028376285</v>
      </c>
      <c r="I26" s="9" t="n">
        <v>6.37158143861078</v>
      </c>
    </row>
    <row r="27" customFormat="false" ht="15" hidden="false" customHeight="false" outlineLevel="0" collapsed="false">
      <c r="A27" s="10" t="n">
        <v>43496</v>
      </c>
      <c r="B27" s="11" t="n">
        <v>35.5</v>
      </c>
      <c r="C27" s="11" t="n">
        <v>37.5</v>
      </c>
      <c r="D27" s="11" t="n">
        <f aca="false">+(B27+C27)/2</f>
        <v>36.5</v>
      </c>
      <c r="E27" s="12" t="n">
        <f aca="false">+C27-B27</f>
        <v>2</v>
      </c>
      <c r="F27" s="8" t="n">
        <f aca="false">+LN(B27/B26)*100</f>
        <v>-8.11255448123685</v>
      </c>
      <c r="G27" s="8" t="n">
        <f aca="false">+LN(C27/C26)*100</f>
        <v>-7.69610411361283</v>
      </c>
      <c r="H27" s="9" t="n">
        <v>-8.11255448123685</v>
      </c>
      <c r="I27" s="9" t="n">
        <v>-7.69610411361283</v>
      </c>
    </row>
    <row r="28" customFormat="false" ht="15" hidden="false" customHeight="false" outlineLevel="0" collapsed="false">
      <c r="A28" s="10" t="n">
        <v>43524</v>
      </c>
      <c r="B28" s="11" t="n">
        <v>38</v>
      </c>
      <c r="C28" s="11" t="n">
        <v>39</v>
      </c>
      <c r="D28" s="11" t="n">
        <f aca="false">+(B28+C28)/2</f>
        <v>38.5</v>
      </c>
      <c r="E28" s="12" t="n">
        <f aca="false">+C28-B28</f>
        <v>1</v>
      </c>
      <c r="F28" s="8" t="n">
        <f aca="false">+LN(B28/B27)*100</f>
        <v>6.80534632450156</v>
      </c>
      <c r="G28" s="8" t="n">
        <f aca="false">+LN(C28/C27)*100</f>
        <v>3.92207131532813</v>
      </c>
      <c r="H28" s="9" t="n">
        <v>6.80534632450156</v>
      </c>
      <c r="I28" s="9" t="n">
        <v>3.92207131532813</v>
      </c>
    </row>
    <row r="29" customFormat="false" ht="15" hidden="false" customHeight="false" outlineLevel="0" collapsed="false">
      <c r="A29" s="4" t="n">
        <v>43553</v>
      </c>
      <c r="B29" s="5" t="n">
        <v>42.65</v>
      </c>
      <c r="C29" s="5" t="n">
        <v>43.65</v>
      </c>
      <c r="D29" s="5" t="n">
        <f aca="false">+(B29+C29)/2</f>
        <v>43.15</v>
      </c>
      <c r="E29" s="6" t="n">
        <f aca="false">+C29-B29</f>
        <v>1</v>
      </c>
      <c r="F29" s="8" t="n">
        <f aca="false">+LN(B29/B28)*100</f>
        <v>11.5441114211302</v>
      </c>
      <c r="G29" s="8" t="n">
        <f aca="false">+LN(C29/C28)*100</f>
        <v>11.2641636155965</v>
      </c>
      <c r="H29" s="9" t="n">
        <v>11.5441114211302</v>
      </c>
      <c r="I29" s="9" t="n">
        <v>11.2641636155965</v>
      </c>
    </row>
    <row r="30" customFormat="false" ht="15" hidden="false" customHeight="false" outlineLevel="0" collapsed="false">
      <c r="A30" s="10" t="n">
        <v>43585</v>
      </c>
      <c r="B30" s="11" t="n">
        <v>45</v>
      </c>
      <c r="C30" s="11" t="n">
        <v>46</v>
      </c>
      <c r="D30" s="11" t="n">
        <f aca="false">+(B30+C30)/2</f>
        <v>45.5</v>
      </c>
      <c r="E30" s="12" t="n">
        <f aca="false">+C30-B30</f>
        <v>1</v>
      </c>
      <c r="F30" s="8" t="n">
        <f aca="false">+LN(B30/B29)*100</f>
        <v>5.36352158326318</v>
      </c>
      <c r="G30" s="8" t="n">
        <f aca="false">+LN(C30/C29)*100</f>
        <v>5.24381142034838</v>
      </c>
      <c r="H30" s="9" t="n">
        <v>5.36352158326318</v>
      </c>
      <c r="I30" s="9" t="n">
        <v>5.24381142034838</v>
      </c>
    </row>
    <row r="31" customFormat="false" ht="15" hidden="false" customHeight="false" outlineLevel="0" collapsed="false">
      <c r="A31" s="10" t="n">
        <v>43616</v>
      </c>
      <c r="B31" s="11" t="n">
        <v>44.5</v>
      </c>
      <c r="C31" s="11" t="n">
        <v>46</v>
      </c>
      <c r="D31" s="11" t="n">
        <v>46</v>
      </c>
      <c r="E31" s="12" t="n">
        <f aca="false">+C31-B31</f>
        <v>1.5</v>
      </c>
      <c r="F31" s="8" t="n">
        <f aca="false">+LN(B31/B30)*100</f>
        <v>-1.11733005981252</v>
      </c>
      <c r="G31" s="8" t="n">
        <f aca="false">+LN(C31/C30)*100</f>
        <v>0</v>
      </c>
      <c r="H31" s="9" t="n">
        <v>-1.11733005981252</v>
      </c>
      <c r="I31" s="9" t="n">
        <v>0</v>
      </c>
    </row>
    <row r="32" customFormat="false" ht="15" hidden="false" customHeight="false" outlineLevel="0" collapsed="false">
      <c r="A32" s="10" t="n">
        <v>43644</v>
      </c>
      <c r="B32" s="11" t="n">
        <v>42.3</v>
      </c>
      <c r="C32" s="11" t="n">
        <v>43.8</v>
      </c>
      <c r="D32" s="11" t="n">
        <f aca="false">+(B32+C32)/2</f>
        <v>43.05</v>
      </c>
      <c r="E32" s="12" t="n">
        <f aca="false">+C32-B32</f>
        <v>1.5</v>
      </c>
      <c r="F32" s="8" t="n">
        <f aca="false">+LN(B32/B31)*100</f>
        <v>-5.07021031199623</v>
      </c>
      <c r="G32" s="8" t="n">
        <f aca="false">+LN(C32/C31)*100</f>
        <v>-4.90075791066946</v>
      </c>
      <c r="H32" s="9" t="n">
        <v>-5.07021031199623</v>
      </c>
      <c r="I32" s="9" t="n">
        <v>-4.90075791066946</v>
      </c>
    </row>
    <row r="33" customFormat="false" ht="15" hidden="false" customHeight="false" outlineLevel="0" collapsed="false">
      <c r="A33" s="4" t="n">
        <v>43677</v>
      </c>
      <c r="B33" s="5" t="n">
        <v>43.7</v>
      </c>
      <c r="C33" s="5" t="n">
        <v>45.2</v>
      </c>
      <c r="D33" s="5" t="n">
        <f aca="false">+(B33+C33)/2</f>
        <v>44.45</v>
      </c>
      <c r="E33" s="6" t="n">
        <f aca="false">+C33-B33</f>
        <v>1.5</v>
      </c>
      <c r="F33" s="8" t="n">
        <f aca="false">+LN(B33/B32)*100</f>
        <v>3.25610160493122</v>
      </c>
      <c r="G33" s="8" t="n">
        <f aca="false">+LN(C33/C32)*100</f>
        <v>3.14632694557851</v>
      </c>
      <c r="H33" s="9" t="n">
        <v>3.25610160493122</v>
      </c>
      <c r="I33" s="9" t="n">
        <v>3.14632694557851</v>
      </c>
    </row>
    <row r="34" customFormat="false" ht="16.4" hidden="false" customHeight="false" outlineLevel="0" collapsed="false">
      <c r="A34" s="10" t="n">
        <v>43707</v>
      </c>
      <c r="B34" s="11" t="n">
        <v>60</v>
      </c>
      <c r="C34" s="11" t="n">
        <v>63</v>
      </c>
      <c r="D34" s="11" t="n">
        <f aca="false">+(B34+C34)/2</f>
        <v>61.5</v>
      </c>
      <c r="E34" s="12" t="n">
        <f aca="false">+C34-B34</f>
        <v>3</v>
      </c>
      <c r="F34" s="8" t="n">
        <f aca="false">+LN(B34/B33)*100</f>
        <v>31.6996460120556</v>
      </c>
      <c r="G34" s="8" t="n">
        <f aca="false">+LN(C34/C33)*100</f>
        <v>33.2037639553347</v>
      </c>
      <c r="H34" s="13" t="n">
        <v>31.6996460120556</v>
      </c>
      <c r="I34" s="13" t="n">
        <v>33.2037639553347</v>
      </c>
    </row>
    <row r="35" customFormat="false" ht="16.4" hidden="false" customHeight="false" outlineLevel="0" collapsed="false">
      <c r="A35" s="4" t="n">
        <v>43738</v>
      </c>
      <c r="B35" s="5" t="n">
        <v>58.25</v>
      </c>
      <c r="C35" s="5" t="n">
        <v>61.25</v>
      </c>
      <c r="D35" s="5" t="n">
        <f aca="false">+(B35+C35)/2</f>
        <v>59.75</v>
      </c>
      <c r="E35" s="6" t="n">
        <f aca="false">+C35-B35</f>
        <v>3</v>
      </c>
      <c r="F35" s="8" t="n">
        <f aca="false">+LN(B35/B34)*100</f>
        <v>-2.96004697762907</v>
      </c>
      <c r="G35" s="8" t="n">
        <f aca="false">+LN(C35/C34)*100</f>
        <v>-2.81708769666963</v>
      </c>
      <c r="H35" s="13" t="n">
        <v>-2.96004697762907</v>
      </c>
      <c r="I35" s="13" t="n">
        <v>-2.81708769666963</v>
      </c>
    </row>
    <row r="36" customFormat="false" ht="16.4" hidden="false" customHeight="false" outlineLevel="0" collapsed="false">
      <c r="A36" s="4" t="n">
        <v>43769</v>
      </c>
      <c r="B36" s="5" t="n">
        <v>66</v>
      </c>
      <c r="C36" s="5" t="n">
        <v>69</v>
      </c>
      <c r="D36" s="5" t="n">
        <f aca="false">+(B36+C36)/2</f>
        <v>67.5</v>
      </c>
      <c r="E36" s="6" t="n">
        <f aca="false">+C36-B36</f>
        <v>3</v>
      </c>
      <c r="F36" s="8" t="n">
        <f aca="false">+LN(B36/B35)*100</f>
        <v>12.4910649580616</v>
      </c>
      <c r="G36" s="8" t="n">
        <f aca="false">+LN(C36/C35)*100</f>
        <v>11.9142655172423</v>
      </c>
      <c r="H36" s="13" t="n">
        <v>12.4910649580616</v>
      </c>
      <c r="I36" s="13" t="n">
        <v>11.9142655172423</v>
      </c>
    </row>
    <row r="37" customFormat="false" ht="16.4" hidden="false" customHeight="false" outlineLevel="0" collapsed="false">
      <c r="A37" s="4" t="n">
        <v>43798</v>
      </c>
      <c r="B37" s="5" t="n">
        <v>66.25</v>
      </c>
      <c r="C37" s="5" t="n">
        <v>69.25</v>
      </c>
      <c r="D37" s="5" t="n">
        <f aca="false">+(B37+C37)/2</f>
        <v>67.75</v>
      </c>
      <c r="E37" s="6" t="n">
        <f aca="false">+C37-B37</f>
        <v>3</v>
      </c>
      <c r="F37" s="8" t="n">
        <f aca="false">+LN(B37/B36)*100</f>
        <v>0.378072283990615</v>
      </c>
      <c r="G37" s="8" t="n">
        <f aca="false">+LN(C37/C36)*100</f>
        <v>0.361664047018851</v>
      </c>
      <c r="H37" s="13" t="n">
        <v>0.378072283990615</v>
      </c>
      <c r="I37" s="13" t="n">
        <v>0.361664047018851</v>
      </c>
    </row>
    <row r="38" customFormat="false" ht="16.4" hidden="false" customHeight="false" outlineLevel="0" collapsed="false">
      <c r="A38" s="10" t="n">
        <v>43829</v>
      </c>
      <c r="B38" s="11" t="n">
        <v>73.5</v>
      </c>
      <c r="C38" s="11" t="n">
        <v>78.5</v>
      </c>
      <c r="D38" s="11" t="n">
        <f aca="false">+(B38+C38)/2</f>
        <v>76</v>
      </c>
      <c r="E38" s="12" t="n">
        <f aca="false">+C38-B38</f>
        <v>5</v>
      </c>
      <c r="F38" s="8" t="n">
        <f aca="false">+LN(B38/B37)*100</f>
        <v>10.3849941352459</v>
      </c>
      <c r="G38" s="8" t="n">
        <f aca="false">+LN(C38/C37)*100</f>
        <v>12.5375479720915</v>
      </c>
      <c r="H38" s="13" t="n">
        <v>10.3849941352459</v>
      </c>
      <c r="I38" s="13" t="n">
        <v>12.5375479720915</v>
      </c>
      <c r="J38" s="14"/>
      <c r="K38" s="14"/>
    </row>
    <row r="39" customFormat="false" ht="16.4" hidden="false" customHeight="false" outlineLevel="0" collapsed="false">
      <c r="A39" s="10" t="n">
        <v>43861</v>
      </c>
      <c r="B39" s="11" t="n">
        <v>74</v>
      </c>
      <c r="C39" s="11" t="n">
        <v>78</v>
      </c>
      <c r="D39" s="11" t="n">
        <f aca="false">+(B39+C39)/2</f>
        <v>76</v>
      </c>
      <c r="E39" s="12" t="n">
        <f aca="false">+C39-B39</f>
        <v>4</v>
      </c>
      <c r="F39" s="8" t="n">
        <f aca="false">+LN(B39/B38)*100</f>
        <v>0.677968698537877</v>
      </c>
      <c r="G39" s="8" t="n">
        <f aca="false">+LN(C39/C38)*100</f>
        <v>-0.638979809877101</v>
      </c>
      <c r="H39" s="13" t="n">
        <v>0.677968698537877</v>
      </c>
      <c r="I39" s="13" t="n">
        <v>-0.638979809877101</v>
      </c>
    </row>
    <row r="40" customFormat="false" ht="16.4" hidden="false" customHeight="false" outlineLevel="0" collapsed="false">
      <c r="A40" s="10" t="n">
        <v>43889</v>
      </c>
      <c r="B40" s="11" t="n">
        <v>74.5</v>
      </c>
      <c r="C40" s="11" t="n">
        <v>78.5</v>
      </c>
      <c r="D40" s="11" t="n">
        <f aca="false">+(B40+C40)/2</f>
        <v>76.5</v>
      </c>
      <c r="E40" s="12" t="n">
        <f aca="false">+C40-B40</f>
        <v>4</v>
      </c>
      <c r="F40" s="8" t="n">
        <f aca="false">+LN(B40/B39)*100</f>
        <v>0.673403218134412</v>
      </c>
      <c r="G40" s="8" t="n">
        <f aca="false">+LN(C40/C39)*100</f>
        <v>0.638979809877099</v>
      </c>
      <c r="H40" s="13" t="n">
        <v>0.673403218134412</v>
      </c>
      <c r="I40" s="13" t="n">
        <v>0.638979809877099</v>
      </c>
    </row>
    <row r="41" customFormat="false" ht="16.4" hidden="false" customHeight="false" outlineLevel="0" collapsed="false">
      <c r="A41" s="4" t="n">
        <v>43920</v>
      </c>
      <c r="B41" s="5" t="n">
        <v>78.5</v>
      </c>
      <c r="C41" s="5" t="n">
        <v>83.5</v>
      </c>
      <c r="D41" s="5" t="n">
        <f aca="false">+(B41+C41)/2</f>
        <v>81</v>
      </c>
      <c r="E41" s="6" t="n">
        <f aca="false">+C41-B41</f>
        <v>5</v>
      </c>
      <c r="F41" s="8" t="n">
        <f aca="false">+LN(B41/B40)*100</f>
        <v>5.22994994028488</v>
      </c>
      <c r="G41" s="8" t="n">
        <f aca="false">+LN(C41/C40)*100</f>
        <v>6.1748007068447</v>
      </c>
      <c r="H41" s="13" t="n">
        <v>5.22994994028488</v>
      </c>
      <c r="I41" s="9" t="n">
        <v>6.1748007068447</v>
      </c>
    </row>
    <row r="42" customFormat="false" ht="16.4" hidden="false" customHeight="false" outlineLevel="0" collapsed="false">
      <c r="A42" s="4" t="n">
        <v>43951</v>
      </c>
      <c r="B42" s="5" t="n">
        <v>108</v>
      </c>
      <c r="C42" s="5" t="n">
        <v>118</v>
      </c>
      <c r="D42" s="5" t="n">
        <f aca="false">+(B42+C42)/2</f>
        <v>113</v>
      </c>
      <c r="E42" s="6" t="n">
        <f aca="false">+C42-B42</f>
        <v>10</v>
      </c>
      <c r="F42" s="8" t="n">
        <f aca="false">+LN(B42/B41)*100</f>
        <v>31.9032602335857</v>
      </c>
      <c r="G42" s="8" t="n">
        <f aca="false">+LN(C42/C41)*100</f>
        <v>34.5837992608855</v>
      </c>
      <c r="H42" s="13" t="n">
        <v>31.9032602335857</v>
      </c>
      <c r="I42" s="9" t="n">
        <v>34.5837992608855</v>
      </c>
    </row>
    <row r="43" customFormat="false" ht="16.4" hidden="false" customHeight="false" outlineLevel="0" collapsed="false">
      <c r="A43" s="10" t="n">
        <v>43980</v>
      </c>
      <c r="B43" s="11" t="n">
        <v>115</v>
      </c>
      <c r="C43" s="11" t="n">
        <v>125</v>
      </c>
      <c r="D43" s="11" t="n">
        <f aca="false">+(B43+C43)/2</f>
        <v>120</v>
      </c>
      <c r="E43" s="12" t="n">
        <f aca="false">+C43-B43</f>
        <v>10</v>
      </c>
      <c r="F43" s="8" t="n">
        <f aca="false">+LN(B43/B42)*100</f>
        <v>6.28009012390304</v>
      </c>
      <c r="G43" s="8" t="n">
        <f aca="false">+LN(C43/C42)*100</f>
        <v>5.76291128366364</v>
      </c>
      <c r="H43" s="13" t="n">
        <v>6.28009012390304</v>
      </c>
      <c r="I43" s="9" t="n">
        <v>5.76291128366364</v>
      </c>
    </row>
    <row r="44" customFormat="false" ht="16.4" hidden="false" customHeight="false" outlineLevel="0" collapsed="false">
      <c r="A44" s="4" t="n">
        <v>44012</v>
      </c>
      <c r="B44" s="5" t="n">
        <v>116</v>
      </c>
      <c r="C44" s="5" t="n">
        <v>126</v>
      </c>
      <c r="D44" s="5" t="n">
        <f aca="false">+(B44+C44)/2</f>
        <v>121</v>
      </c>
      <c r="E44" s="6" t="n">
        <f aca="false">+C44-B44</f>
        <v>10</v>
      </c>
      <c r="F44" s="8" t="n">
        <f aca="false">+LN(B44/B43)*100</f>
        <v>0.865806274311453</v>
      </c>
      <c r="G44" s="8" t="n">
        <f aca="false">+LN(C44/C43)*100</f>
        <v>0.796816964917688</v>
      </c>
      <c r="H44" s="13" t="n">
        <v>0.865806274311453</v>
      </c>
      <c r="I44" s="13" t="n">
        <v>0.796816964917688</v>
      </c>
    </row>
    <row r="45" customFormat="false" ht="16.4" hidden="false" customHeight="false" outlineLevel="0" collapsed="false">
      <c r="A45" s="4" t="n">
        <v>44043</v>
      </c>
      <c r="B45" s="5" t="n">
        <v>131</v>
      </c>
      <c r="C45" s="5" t="n">
        <v>136</v>
      </c>
      <c r="D45" s="5" t="n">
        <f aca="false">+(B45+C45)/2</f>
        <v>133.5</v>
      </c>
      <c r="E45" s="6" t="n">
        <f aca="false">+C45-B45</f>
        <v>5</v>
      </c>
      <c r="F45" s="8" t="n">
        <f aca="false">+LN(B45/B44)*100</f>
        <v>12.1607132094787</v>
      </c>
      <c r="G45" s="8" t="n">
        <f aca="false">+LN(C45/C44)*100</f>
        <v>7.6372978784574</v>
      </c>
      <c r="H45" s="13" t="n">
        <v>12.1607132094787</v>
      </c>
      <c r="I45" s="13" t="n">
        <v>7.6372978784574</v>
      </c>
    </row>
    <row r="46" customFormat="false" ht="16.4" hidden="false" customHeight="false" outlineLevel="0" collapsed="false">
      <c r="A46" s="10" t="n">
        <v>44074</v>
      </c>
      <c r="B46" s="11" t="n">
        <v>131</v>
      </c>
      <c r="C46" s="11" t="n">
        <v>135</v>
      </c>
      <c r="D46" s="11" t="n">
        <f aca="false">+(B46+C46)/2</f>
        <v>133</v>
      </c>
      <c r="E46" s="12" t="n">
        <f aca="false">+C46-B46</f>
        <v>4</v>
      </c>
      <c r="F46" s="8" t="n">
        <f aca="false">+LN(B46/B45)*100</f>
        <v>0</v>
      </c>
      <c r="G46" s="8" t="n">
        <f aca="false">+LN(C46/C45)*100</f>
        <v>-0.738010729762253</v>
      </c>
      <c r="H46" s="13" t="n">
        <v>0</v>
      </c>
      <c r="I46" s="13" t="n">
        <v>-0.738010729762253</v>
      </c>
    </row>
    <row r="47" customFormat="false" ht="15" hidden="false" customHeight="false" outlineLevel="0" collapsed="false">
      <c r="A47" s="10" t="n">
        <v>44104</v>
      </c>
      <c r="B47" s="11" t="n">
        <v>140</v>
      </c>
      <c r="C47" s="11" t="n">
        <v>146</v>
      </c>
      <c r="D47" s="11" t="n">
        <f aca="false">+(B47+C47)/2</f>
        <v>143</v>
      </c>
      <c r="E47" s="12" t="n">
        <f aca="false">+C47-B47</f>
        <v>6</v>
      </c>
      <c r="F47" s="8" t="n">
        <f aca="false">+LN(B47/B46)*100</f>
        <v>6.64450994081528</v>
      </c>
      <c r="G47" s="8" t="n">
        <f aca="false">+LN(C47/C46)*100</f>
        <v>7.8331843269907</v>
      </c>
      <c r="H47" s="9" t="n">
        <v>6.64450994081528</v>
      </c>
      <c r="I47" s="9" t="n">
        <v>7.8331843269907</v>
      </c>
    </row>
    <row r="48" customFormat="false" ht="15" hidden="false" customHeight="false" outlineLevel="0" collapsed="false">
      <c r="A48" s="4" t="n">
        <v>44134</v>
      </c>
      <c r="B48" s="5" t="n">
        <v>163</v>
      </c>
      <c r="C48" s="5" t="n">
        <v>169</v>
      </c>
      <c r="D48" s="5" t="n">
        <f aca="false">+(B48+C48)/2</f>
        <v>166</v>
      </c>
      <c r="E48" s="6" t="n">
        <f aca="false">+C48-B48</f>
        <v>6</v>
      </c>
      <c r="F48" s="8" t="n">
        <f aca="false">+LN(B48/B47)*100</f>
        <v>15.2107778197458</v>
      </c>
      <c r="G48" s="8" t="n">
        <f aca="false">+LN(C48/C47)*100</f>
        <v>14.6292093214737</v>
      </c>
      <c r="H48" s="9" t="n">
        <v>15.2107778197458</v>
      </c>
      <c r="I48" s="9" t="n">
        <v>14.6292093214737</v>
      </c>
    </row>
    <row r="49" customFormat="false" ht="15" hidden="false" customHeight="false" outlineLevel="0" collapsed="false">
      <c r="A49" s="4" t="n">
        <v>44165</v>
      </c>
      <c r="B49" s="5" t="n">
        <v>149</v>
      </c>
      <c r="C49" s="5" t="n">
        <v>155</v>
      </c>
      <c r="D49" s="5" t="n">
        <f aca="false">+(B49+C49)/2</f>
        <v>152</v>
      </c>
      <c r="E49" s="6" t="n">
        <f aca="false">+C49-B49</f>
        <v>6</v>
      </c>
      <c r="F49" s="8" t="n">
        <f aca="false">+LN(B49/B48)*100</f>
        <v>-8.98038948613031</v>
      </c>
      <c r="G49" s="8" t="n">
        <f aca="false">+LN(C49/C48)*100</f>
        <v>-8.64735980038268</v>
      </c>
      <c r="H49" s="9" t="n">
        <v>-8.98038948613031</v>
      </c>
      <c r="I49" s="9" t="n">
        <v>-8.64735980038268</v>
      </c>
    </row>
    <row r="50" customFormat="false" ht="15" hidden="false" customHeight="false" outlineLevel="0" collapsed="false">
      <c r="A50" s="4" t="n">
        <v>44195</v>
      </c>
      <c r="B50" s="5" t="n">
        <v>160</v>
      </c>
      <c r="C50" s="5" t="n">
        <v>166</v>
      </c>
      <c r="D50" s="5" t="n">
        <f aca="false">+(B50+C50)/2</f>
        <v>163</v>
      </c>
      <c r="E50" s="6" t="n">
        <f aca="false">+C50-B50</f>
        <v>6</v>
      </c>
      <c r="F50" s="8" t="n">
        <f aca="false">+LN(B50/B49)*100</f>
        <v>7.12275092883678</v>
      </c>
      <c r="G50" s="8" t="n">
        <f aca="false">+LN(C50/C49)*100</f>
        <v>6.85626714372967</v>
      </c>
      <c r="H50" s="9" t="n">
        <v>7.12275092883678</v>
      </c>
      <c r="I50" s="9" t="n">
        <v>6.85626714372967</v>
      </c>
    </row>
    <row r="51" customFormat="false" ht="15" hidden="false" customHeight="false" outlineLevel="0" collapsed="false">
      <c r="A51" s="4" t="n">
        <v>44225</v>
      </c>
      <c r="B51" s="5" t="n">
        <v>148</v>
      </c>
      <c r="C51" s="5" t="n">
        <v>153</v>
      </c>
      <c r="D51" s="5" t="n">
        <f aca="false">+(B51+C51)/2</f>
        <v>150.5</v>
      </c>
      <c r="E51" s="6" t="n">
        <f aca="false">+C51-B51</f>
        <v>5</v>
      </c>
      <c r="F51" s="8" t="n">
        <f aca="false">+LN(B51/B50)*100</f>
        <v>-7.79615414697118</v>
      </c>
      <c r="G51" s="8" t="n">
        <f aca="false">+LN(C51/C50)*100</f>
        <v>-8.15498669641077</v>
      </c>
      <c r="H51" s="9" t="n">
        <v>-7.79615414697118</v>
      </c>
      <c r="I51" s="9" t="n">
        <v>-8.15498669641077</v>
      </c>
    </row>
    <row r="52" customFormat="false" ht="15" hidden="false" customHeight="false" outlineLevel="0" collapsed="false">
      <c r="A52" s="4" t="n">
        <v>44253</v>
      </c>
      <c r="B52" s="5" t="n">
        <v>141</v>
      </c>
      <c r="C52" s="5" t="n">
        <v>146</v>
      </c>
      <c r="D52" s="5" t="n">
        <f aca="false">+(B52+C52)/2</f>
        <v>143.5</v>
      </c>
      <c r="E52" s="6" t="n">
        <f aca="false">+C52-B52</f>
        <v>5</v>
      </c>
      <c r="F52" s="8" t="n">
        <f aca="false">+LN(B52/B51)*100</f>
        <v>-4.84523833859467</v>
      </c>
      <c r="G52" s="8" t="n">
        <f aca="false">+LN(C52/C51)*100</f>
        <v>-4.6831299684099</v>
      </c>
      <c r="H52" s="9" t="n">
        <v>-4.84523833859467</v>
      </c>
      <c r="I52" s="9" t="n">
        <v>-4.6831299684099</v>
      </c>
    </row>
    <row r="53" customFormat="false" ht="15" hidden="false" customHeight="false" outlineLevel="0" collapsed="false">
      <c r="A53" s="4" t="n">
        <v>44286</v>
      </c>
      <c r="B53" s="5" t="n">
        <v>136</v>
      </c>
      <c r="C53" s="5" t="n">
        <v>141</v>
      </c>
      <c r="D53" s="5" t="n">
        <f aca="false">+(B53+C53)/2</f>
        <v>138.5</v>
      </c>
      <c r="E53" s="6" t="n">
        <f aca="false">+C53-B53</f>
        <v>5</v>
      </c>
      <c r="F53" s="8" t="n">
        <f aca="false">+LN(B53/B52)*100</f>
        <v>-3.61050046421163</v>
      </c>
      <c r="G53" s="8" t="n">
        <f aca="false">+LN(C53/C52)*100</f>
        <v>-3.48467313301682</v>
      </c>
      <c r="H53" s="9" t="n">
        <v>-3.61050046421163</v>
      </c>
      <c r="I53" s="9" t="n">
        <v>-3.48467313301682</v>
      </c>
    </row>
    <row r="54" customFormat="false" ht="15" hidden="false" customHeight="false" outlineLevel="0" collapsed="false">
      <c r="A54" s="4" t="n">
        <v>44316</v>
      </c>
      <c r="B54" s="5" t="n">
        <v>145</v>
      </c>
      <c r="C54" s="5" t="n">
        <v>150</v>
      </c>
      <c r="D54" s="5" t="n">
        <f aca="false">+(B54+C54)/2</f>
        <v>147.5</v>
      </c>
      <c r="E54" s="6" t="n">
        <f aca="false">+C54-B54</f>
        <v>5</v>
      </c>
      <c r="F54" s="8" t="n">
        <f aca="false">+LN(B54/B53)*100</f>
        <v>6.40788566845224</v>
      </c>
      <c r="G54" s="8" t="n">
        <f aca="false">+LN(C54/C53)*100</f>
        <v>6.18754037180875</v>
      </c>
      <c r="H54" s="9" t="n">
        <v>6.40788566845224</v>
      </c>
      <c r="I54" s="9" t="n">
        <v>6.18754037180875</v>
      </c>
    </row>
    <row r="55" customFormat="false" ht="16.4" hidden="false" customHeight="false" outlineLevel="0" collapsed="false">
      <c r="A55" s="10" t="n">
        <v>44347</v>
      </c>
      <c r="B55" s="11" t="n">
        <v>152</v>
      </c>
      <c r="C55" s="11" t="n">
        <v>157</v>
      </c>
      <c r="D55" s="11" t="n">
        <f aca="false">+(B55+C55)/2</f>
        <v>154.5</v>
      </c>
      <c r="E55" s="12" t="n">
        <f aca="false">+C55-B55</f>
        <v>5</v>
      </c>
      <c r="F55" s="8" t="n">
        <f aca="false">+LN(B55/B54)*100</f>
        <v>4.71467784257021</v>
      </c>
      <c r="G55" s="8" t="n">
        <f aca="false">+LN(C55/C54)*100</f>
        <v>4.56105112520523</v>
      </c>
      <c r="H55" s="13" t="n">
        <v>4.71467784257021</v>
      </c>
      <c r="I55" s="9" t="n">
        <v>4.56105112520523</v>
      </c>
    </row>
    <row r="56" customFormat="false" ht="16.4" hidden="false" customHeight="false" outlineLevel="0" collapsed="false">
      <c r="A56" s="10" t="n">
        <v>44377</v>
      </c>
      <c r="B56" s="11" t="n">
        <v>163</v>
      </c>
      <c r="C56" s="11" t="n">
        <v>168</v>
      </c>
      <c r="D56" s="11" t="n">
        <f aca="false">+(B56+C56)/2</f>
        <v>165.5</v>
      </c>
      <c r="E56" s="12" t="n">
        <f aca="false">+C56-B56</f>
        <v>5</v>
      </c>
      <c r="F56" s="8" t="n">
        <f aca="false">+LN(B56/B55)*100</f>
        <v>6.9869679960486</v>
      </c>
      <c r="G56" s="8" t="n">
        <f aca="false">+LN(C56/C55)*100</f>
        <v>6.77181740549509</v>
      </c>
      <c r="H56" s="13" t="n">
        <v>6.9869679960486</v>
      </c>
      <c r="I56" s="9" t="n">
        <v>6.77181740549509</v>
      </c>
    </row>
    <row r="57" customFormat="false" ht="16.4" hidden="false" customHeight="false" outlineLevel="0" collapsed="false">
      <c r="A57" s="4" t="n">
        <v>44407</v>
      </c>
      <c r="B57" s="5" t="n">
        <v>175.5</v>
      </c>
      <c r="C57" s="5" t="n">
        <v>180.5</v>
      </c>
      <c r="D57" s="5" t="n">
        <f aca="false">+(B57+C57)/2</f>
        <v>178</v>
      </c>
      <c r="E57" s="6" t="n">
        <f aca="false">+C57-B57</f>
        <v>5</v>
      </c>
      <c r="F57" s="8" t="n">
        <f aca="false">+LN(B57/B56)*100</f>
        <v>7.38888420991582</v>
      </c>
      <c r="G57" s="8" t="n">
        <f aca="false">+LN(C57/C56)*100</f>
        <v>7.17667983696766</v>
      </c>
      <c r="H57" s="13" t="n">
        <v>7.38888420991582</v>
      </c>
      <c r="I57" s="13" t="n">
        <v>7.17667983696766</v>
      </c>
      <c r="J57" s="15"/>
    </row>
    <row r="58" customFormat="false" ht="15" hidden="false" customHeight="false" outlineLevel="0" collapsed="false">
      <c r="A58" s="10" t="n">
        <v>44439</v>
      </c>
      <c r="B58" s="11" t="n">
        <v>176.5</v>
      </c>
      <c r="C58" s="11" t="n">
        <v>181.5</v>
      </c>
      <c r="D58" s="11" t="n">
        <f aca="false">+(B58+C58)/2</f>
        <v>179</v>
      </c>
      <c r="E58" s="12" t="n">
        <f aca="false">+C58-B58</f>
        <v>5</v>
      </c>
      <c r="F58" s="8" t="n">
        <f aca="false">+LN(B58/B57)*100</f>
        <v>0.568183346743086</v>
      </c>
      <c r="G58" s="8" t="n">
        <f aca="false">+LN(C58/C57)*100</f>
        <v>0.552487593196981</v>
      </c>
      <c r="H58" s="9" t="n">
        <v>0.568183346743086</v>
      </c>
      <c r="I58" s="9" t="n">
        <v>0.552487593196981</v>
      </c>
    </row>
    <row r="59" customFormat="false" ht="15" hidden="false" customHeight="false" outlineLevel="0" collapsed="false">
      <c r="A59" s="10" t="n">
        <v>44469</v>
      </c>
      <c r="B59" s="11" t="n">
        <v>182</v>
      </c>
      <c r="C59" s="11" t="n">
        <v>186</v>
      </c>
      <c r="D59" s="11" t="n">
        <f aca="false">+(B59+C59)/2</f>
        <v>184</v>
      </c>
      <c r="E59" s="12" t="n">
        <f aca="false">+C59-B59</f>
        <v>4</v>
      </c>
      <c r="F59" s="8" t="n">
        <f aca="false">+LN(B59/B58)*100</f>
        <v>3.06858107034439</v>
      </c>
      <c r="G59" s="8" t="n">
        <f aca="false">+LN(C59/C58)*100</f>
        <v>2.44910200082957</v>
      </c>
      <c r="H59" s="9" t="n">
        <v>3.06858107034439</v>
      </c>
      <c r="I59" s="9" t="n">
        <v>2.44910200082957</v>
      </c>
    </row>
    <row r="60" customFormat="false" ht="15" hidden="false" customHeight="false" outlineLevel="0" collapsed="false">
      <c r="A60" s="4" t="n">
        <v>44498</v>
      </c>
      <c r="B60" s="5" t="n">
        <v>193.5</v>
      </c>
      <c r="C60" s="5" t="n">
        <v>197.5</v>
      </c>
      <c r="D60" s="5" t="n">
        <f aca="false">+(B60+C60)/2</f>
        <v>195.5</v>
      </c>
      <c r="E60" s="6" t="n">
        <f aca="false">+C60-B60</f>
        <v>4</v>
      </c>
      <c r="F60" s="8" t="n">
        <f aca="false">+LN(B60/B59)*100</f>
        <v>6.12708253930411</v>
      </c>
      <c r="G60" s="8" t="n">
        <f aca="false">+LN(C60/C59)*100</f>
        <v>5.99919106279753</v>
      </c>
      <c r="H60" s="9" t="n">
        <v>6.12708253930411</v>
      </c>
      <c r="I60" s="9" t="n">
        <v>5.99919106279753</v>
      </c>
    </row>
    <row r="61" customFormat="false" ht="16.4" hidden="false" customHeight="false" outlineLevel="0" collapsed="false">
      <c r="A61" s="10" t="n">
        <v>44530</v>
      </c>
      <c r="B61" s="11" t="n">
        <v>197.5</v>
      </c>
      <c r="C61" s="11" t="n">
        <v>201.5</v>
      </c>
      <c r="D61" s="11" t="n">
        <f aca="false">+(B61+C61)/2</f>
        <v>199.5</v>
      </c>
      <c r="E61" s="12" t="n">
        <f aca="false">+C61-B61</f>
        <v>4</v>
      </c>
      <c r="F61" s="8" t="n">
        <f aca="false">+LN(B61/B60)*100</f>
        <v>2.046107187134</v>
      </c>
      <c r="G61" s="8" t="n">
        <f aca="false">+LN(C61/C60)*100</f>
        <v>2.00507970455612</v>
      </c>
      <c r="H61" s="13" t="n">
        <v>2.046107187134</v>
      </c>
      <c r="I61" s="13" t="n">
        <v>2.00507970455612</v>
      </c>
    </row>
    <row r="62" customFormat="false" ht="15" hidden="false" customHeight="false" outlineLevel="0" collapsed="false">
      <c r="A62" s="10" t="n">
        <v>44561</v>
      </c>
      <c r="B62" s="11" t="n">
        <v>204</v>
      </c>
      <c r="C62" s="11" t="n">
        <v>208</v>
      </c>
      <c r="D62" s="11" t="n">
        <f aca="false">+(B62+C62)/2</f>
        <v>206</v>
      </c>
      <c r="E62" s="12" t="n">
        <f aca="false">+C62-B62</f>
        <v>4</v>
      </c>
      <c r="F62" s="8" t="n">
        <f aca="false">+LN(B62/B61)*100</f>
        <v>3.23814095030398</v>
      </c>
      <c r="G62" s="8" t="n">
        <f aca="false">+LN(C62/C61)*100</f>
        <v>3.17486983145803</v>
      </c>
      <c r="H62" s="9" t="n">
        <v>3.23814095030398</v>
      </c>
      <c r="I62" s="9" t="n">
        <v>3.17486983145803</v>
      </c>
    </row>
    <row r="63" customFormat="false" ht="15" hidden="false" customHeight="false" outlineLevel="0" collapsed="false">
      <c r="A63" s="4" t="n">
        <v>44592</v>
      </c>
      <c r="B63" s="5" t="n">
        <v>209</v>
      </c>
      <c r="C63" s="5" t="n">
        <v>213</v>
      </c>
      <c r="D63" s="5" t="n">
        <f aca="false">+(B63+C63)/2</f>
        <v>211</v>
      </c>
      <c r="E63" s="6" t="n">
        <f aca="false">+C63-B63</f>
        <v>4</v>
      </c>
      <c r="F63" s="8" t="n">
        <f aca="false">+LN(B63/B62)*100</f>
        <v>2.42142581205945</v>
      </c>
      <c r="G63" s="8" t="n">
        <f aca="false">+LN(C63/C62)*100</f>
        <v>2.37540860081071</v>
      </c>
      <c r="H63" s="9" t="n">
        <v>2.42142581205945</v>
      </c>
      <c r="I63" s="9" t="n">
        <v>2.37540860081071</v>
      </c>
    </row>
    <row r="64" customFormat="false" ht="15" hidden="false" customHeight="false" outlineLevel="0" collapsed="false">
      <c r="A64" s="10" t="n">
        <v>44617</v>
      </c>
      <c r="B64" s="11" t="n">
        <v>207</v>
      </c>
      <c r="C64" s="11" t="n">
        <v>211</v>
      </c>
      <c r="D64" s="11" t="n">
        <f aca="false">+(B64+C64)/2</f>
        <v>209</v>
      </c>
      <c r="E64" s="12" t="n">
        <f aca="false">+C64-B64</f>
        <v>4</v>
      </c>
      <c r="F64" s="8" t="n">
        <f aca="false">+LN(B64/B63)*100</f>
        <v>-0.961545869944198</v>
      </c>
      <c r="G64" s="8" t="n">
        <f aca="false">+LN(C64/C63)*100</f>
        <v>-0.943403223335864</v>
      </c>
      <c r="H64" s="9" t="n">
        <v>-0.961545869944198</v>
      </c>
      <c r="I64" s="9" t="n">
        <v>-0.943403223335864</v>
      </c>
    </row>
    <row r="65" customFormat="false" ht="15" hidden="false" customHeight="false" outlineLevel="0" collapsed="false">
      <c r="A65" s="4" t="n">
        <v>44651</v>
      </c>
      <c r="B65" s="5" t="n">
        <v>197</v>
      </c>
      <c r="C65" s="5" t="n">
        <v>201</v>
      </c>
      <c r="D65" s="5" t="n">
        <f aca="false">+(B65+C65)/2</f>
        <v>199</v>
      </c>
      <c r="E65" s="6" t="n">
        <f aca="false">+C65-B65</f>
        <v>4</v>
      </c>
      <c r="F65" s="8" t="n">
        <f aca="false">+LN(B65/B64)*100</f>
        <v>-4.95150645273806</v>
      </c>
      <c r="G65" s="8" t="n">
        <f aca="false">+LN(C65/C64)*100</f>
        <v>-4.85532254169908</v>
      </c>
      <c r="H65" s="9" t="n">
        <v>-4.95150645273806</v>
      </c>
      <c r="I65" s="9" t="n">
        <v>-4.85532254169908</v>
      </c>
    </row>
    <row r="66" customFormat="false" ht="15" hidden="false" customHeight="false" outlineLevel="0" collapsed="false">
      <c r="A66" s="10" t="n">
        <v>44680</v>
      </c>
      <c r="B66" s="11" t="n">
        <v>196.5</v>
      </c>
      <c r="C66" s="11" t="n">
        <v>200.5</v>
      </c>
      <c r="D66" s="11" t="n">
        <f aca="false">+(B66+C66)/2</f>
        <v>198.5</v>
      </c>
      <c r="E66" s="12" t="n">
        <f aca="false">+C66-B66</f>
        <v>4</v>
      </c>
      <c r="F66" s="8" t="n">
        <f aca="false">+LN(B66/B65)*100</f>
        <v>-0.254129742867253</v>
      </c>
      <c r="G66" s="8" t="n">
        <f aca="false">+LN(C66/C65)*100</f>
        <v>-0.249066131245192</v>
      </c>
      <c r="H66" s="9" t="n">
        <v>-0.254129742867253</v>
      </c>
      <c r="I66" s="9" t="n">
        <v>-0.249066131245192</v>
      </c>
    </row>
    <row r="67" customFormat="false" ht="15" hidden="false" customHeight="false" outlineLevel="0" collapsed="false">
      <c r="A67" s="10" t="n">
        <v>44712</v>
      </c>
      <c r="B67" s="11" t="n">
        <v>202.5</v>
      </c>
      <c r="C67" s="11" t="n">
        <v>206.5</v>
      </c>
      <c r="D67" s="11" t="n">
        <f aca="false">+(B67+C67)/2</f>
        <v>204.5</v>
      </c>
      <c r="E67" s="12" t="n">
        <f aca="false">+C67-B67</f>
        <v>4</v>
      </c>
      <c r="F67" s="8" t="n">
        <f aca="false">+LN(B67/B66)*100</f>
        <v>3.0077455237278</v>
      </c>
      <c r="G67" s="8" t="n">
        <f aca="false">+LN(C67/C66)*100</f>
        <v>2.94861656544635</v>
      </c>
      <c r="H67" s="9" t="n">
        <v>3.0077455237278</v>
      </c>
      <c r="I67" s="9" t="n">
        <v>2.94861656544635</v>
      </c>
    </row>
    <row r="68" customFormat="false" ht="15" hidden="false" customHeight="false" outlineLevel="0" collapsed="false">
      <c r="A68" s="10" t="n">
        <v>44742</v>
      </c>
      <c r="B68" s="11" t="n">
        <v>234</v>
      </c>
      <c r="C68" s="11" t="n">
        <v>238</v>
      </c>
      <c r="D68" s="11" t="n">
        <f aca="false">+(B68+C68)/2</f>
        <v>236</v>
      </c>
      <c r="E68" s="12" t="n">
        <f aca="false">+C68-B68</f>
        <v>4</v>
      </c>
      <c r="F68" s="8" t="n">
        <f aca="false">+LN(B68/B67)*100</f>
        <v>14.4581228811108</v>
      </c>
      <c r="G68" s="8" t="n">
        <f aca="false">+LN(C68/C67)*100</f>
        <v>14.1970261270387</v>
      </c>
      <c r="H68" s="9" t="n">
        <v>14.4581228811108</v>
      </c>
      <c r="I68" s="9" t="n">
        <v>14.1970261270387</v>
      </c>
    </row>
    <row r="69" customFormat="false" ht="15" hidden="false" customHeight="false" outlineLevel="0" collapsed="false">
      <c r="A69" s="4" t="n">
        <v>44771</v>
      </c>
      <c r="B69" s="5" t="n">
        <v>286</v>
      </c>
      <c r="C69" s="5" t="n">
        <v>296</v>
      </c>
      <c r="D69" s="5" t="n">
        <f aca="false">+(B69+C69)/2</f>
        <v>291</v>
      </c>
      <c r="E69" s="6" t="n">
        <f aca="false">+C69-B69</f>
        <v>10</v>
      </c>
      <c r="F69" s="8" t="n">
        <f aca="false">+LN(B69/B68)*100</f>
        <v>20.0670695462151</v>
      </c>
      <c r="G69" s="8" t="n">
        <f aca="false">+LN(C69/C68)*100</f>
        <v>21.8088780652586</v>
      </c>
      <c r="H69" s="9" t="n">
        <v>20.0670695462151</v>
      </c>
      <c r="I69" s="9" t="n">
        <v>21.8088780652586</v>
      </c>
    </row>
    <row r="70" customFormat="false" ht="15" hidden="false" customHeight="false" outlineLevel="0" collapsed="false">
      <c r="A70" s="4" t="n">
        <v>44804</v>
      </c>
      <c r="B70" s="5" t="n">
        <v>285</v>
      </c>
      <c r="C70" s="5" t="n">
        <v>290</v>
      </c>
      <c r="D70" s="5" t="n">
        <f aca="false">+(B70+C70)/2</f>
        <v>287.5</v>
      </c>
      <c r="E70" s="6" t="n">
        <f aca="false">+C70-B70</f>
        <v>5</v>
      </c>
      <c r="F70" s="8" t="n">
        <f aca="false">+LN(B70/B69)*100</f>
        <v>-0.350263055120211</v>
      </c>
      <c r="G70" s="8" t="n">
        <f aca="false">+LN(C70/C69)*100</f>
        <v>-2.04785313435407</v>
      </c>
      <c r="H70" s="9" t="n">
        <v>-0.350263055120211</v>
      </c>
      <c r="I70" s="9" t="n">
        <v>-2.04785313435407</v>
      </c>
    </row>
    <row r="71" customFormat="false" ht="15" hidden="false" customHeight="false" outlineLevel="0" collapsed="false">
      <c r="A71" s="4" t="n">
        <v>44834</v>
      </c>
      <c r="B71" s="5" t="n">
        <v>284</v>
      </c>
      <c r="C71" s="5" t="n">
        <v>288</v>
      </c>
      <c r="D71" s="5" t="n">
        <f aca="false">+(B71+C71)/2</f>
        <v>286</v>
      </c>
      <c r="E71" s="6" t="n">
        <f aca="false">+C71-B71</f>
        <v>4</v>
      </c>
      <c r="F71" s="8" t="n">
        <f aca="false">+LN(B71/B70)*100</f>
        <v>-0.35149421074445</v>
      </c>
      <c r="G71" s="8" t="n">
        <f aca="false">+LN(C71/C70)*100</f>
        <v>-0.69204428445738</v>
      </c>
      <c r="H71" s="9" t="n">
        <v>-0.35149421074445</v>
      </c>
      <c r="I71" s="9" t="n">
        <v>-0.69204428445738</v>
      </c>
    </row>
    <row r="72" customFormat="false" ht="15" hidden="false" customHeight="false" outlineLevel="0" collapsed="false">
      <c r="A72" s="10" t="n">
        <v>44865</v>
      </c>
      <c r="B72" s="11" t="n">
        <v>286</v>
      </c>
      <c r="C72" s="11" t="n">
        <v>290</v>
      </c>
      <c r="D72" s="11" t="n">
        <f aca="false">+(B72+C72)/2</f>
        <v>288</v>
      </c>
      <c r="E72" s="12" t="n">
        <f aca="false">+C72-B72</f>
        <v>4</v>
      </c>
      <c r="F72" s="8" t="n">
        <f aca="false">+LN(B72/B71)*100</f>
        <v>0.701757265864654</v>
      </c>
      <c r="G72" s="8" t="n">
        <f aca="false">+LN(C72/C71)*100</f>
        <v>0.692044284457376</v>
      </c>
      <c r="H72" s="9" t="n">
        <v>0.701757265864654</v>
      </c>
      <c r="I72" s="9" t="n">
        <v>0.692044284457376</v>
      </c>
    </row>
    <row r="73" customFormat="false" ht="15" hidden="false" customHeight="false" outlineLevel="0" collapsed="false">
      <c r="A73" s="4" t="n">
        <v>44895</v>
      </c>
      <c r="B73" s="5" t="n">
        <v>310</v>
      </c>
      <c r="C73" s="5" t="n">
        <v>314</v>
      </c>
      <c r="D73" s="5" t="n">
        <f aca="false">+(B73+C73)/2</f>
        <v>312</v>
      </c>
      <c r="E73" s="6" t="n">
        <f aca="false">+C73-B73</f>
        <v>4</v>
      </c>
      <c r="F73" s="8" t="n">
        <f aca="false">+LN(B73/B72)*100</f>
        <v>8.05804866593394</v>
      </c>
      <c r="G73" s="8" t="n">
        <f aca="false">+LN(C73/C72)*100</f>
        <v>7.95120629277336</v>
      </c>
      <c r="H73" s="9" t="n">
        <v>8.05804866593394</v>
      </c>
      <c r="I73" s="9" t="n">
        <v>7.95120629277336</v>
      </c>
    </row>
    <row r="74" customFormat="false" ht="15" hidden="false" customHeight="false" outlineLevel="0" collapsed="false">
      <c r="A74" s="4" t="n">
        <v>44925</v>
      </c>
      <c r="B74" s="5" t="n">
        <v>342</v>
      </c>
      <c r="C74" s="5" t="n">
        <v>346</v>
      </c>
      <c r="D74" s="5" t="n">
        <f aca="false">+(B74+C74)/2</f>
        <v>344</v>
      </c>
      <c r="E74" s="6" t="n">
        <f aca="false">+C74-B74</f>
        <v>4</v>
      </c>
      <c r="F74" s="8" t="n">
        <f aca="false">+LN(B74/B73)*100</f>
        <v>9.82384395834133</v>
      </c>
      <c r="G74" s="8" t="n">
        <f aca="false">+LN(C74/C73)*100</f>
        <v>9.70457891494709</v>
      </c>
      <c r="H74" s="9" t="n">
        <v>9.82384395834133</v>
      </c>
      <c r="I74" s="9" t="n">
        <v>9.70457891494709</v>
      </c>
    </row>
    <row r="75" customFormat="false" ht="15" hidden="false" customHeight="false" outlineLevel="0" collapsed="false">
      <c r="A75" s="4" t="n">
        <v>44957</v>
      </c>
      <c r="B75" s="5" t="n">
        <v>379</v>
      </c>
      <c r="C75" s="5" t="n">
        <v>383</v>
      </c>
      <c r="D75" s="5" t="n">
        <f aca="false">+(B75+C75)/2</f>
        <v>381</v>
      </c>
      <c r="E75" s="6" t="n">
        <f aca="false">+C75-B75</f>
        <v>4</v>
      </c>
      <c r="F75" s="8" t="n">
        <f aca="false">+LN(B75/B74)*100</f>
        <v>10.2725468019821</v>
      </c>
      <c r="G75" s="8" t="n">
        <f aca="false">+LN(C75/C74)*100</f>
        <v>10.1596214122922</v>
      </c>
      <c r="H75" s="9" t="n">
        <v>10.2725468019821</v>
      </c>
      <c r="I75" s="9" t="n">
        <v>10.1596214122922</v>
      </c>
    </row>
    <row r="76" customFormat="false" ht="15" hidden="false" customHeight="false" outlineLevel="0" collapsed="false">
      <c r="A76" s="10" t="n">
        <v>44985</v>
      </c>
      <c r="B76" s="11" t="n">
        <v>373</v>
      </c>
      <c r="C76" s="11" t="n">
        <v>377</v>
      </c>
      <c r="D76" s="11" t="n">
        <f aca="false">+(B76+C76)/2</f>
        <v>375</v>
      </c>
      <c r="E76" s="12" t="n">
        <f aca="false">+C76-B76</f>
        <v>4</v>
      </c>
      <c r="F76" s="8" t="n">
        <f aca="false">+LN(B76/B75)*100</f>
        <v>-1.59577854386108</v>
      </c>
      <c r="G76" s="8" t="n">
        <f aca="false">+LN(C76/C75)*100</f>
        <v>-1.57898017326352</v>
      </c>
      <c r="H76" s="9" t="n">
        <v>-1.59577854386108</v>
      </c>
      <c r="I76" s="9" t="n">
        <v>-1.57898017326352</v>
      </c>
    </row>
    <row r="77" customFormat="false" ht="15" hidden="false" customHeight="false" outlineLevel="0" collapsed="false">
      <c r="A77" s="10" t="n">
        <v>45016</v>
      </c>
      <c r="B77" s="11" t="n">
        <v>388</v>
      </c>
      <c r="C77" s="11" t="n">
        <v>393</v>
      </c>
      <c r="D77" s="11" t="n">
        <f aca="false">+(B77+C77)/2</f>
        <v>390.5</v>
      </c>
      <c r="E77" s="12" t="n">
        <f aca="false">+C77-B77</f>
        <v>5</v>
      </c>
      <c r="F77" s="8" t="n">
        <f aca="false">+LN(B77/B76)*100</f>
        <v>3.94269199794579</v>
      </c>
      <c r="G77" s="8" t="n">
        <f aca="false">+LN(C77/C76)*100</f>
        <v>4.15644244212506</v>
      </c>
      <c r="H77" s="9" t="n">
        <v>3.94269199794579</v>
      </c>
      <c r="I77" s="9" t="n">
        <v>4.15644244212506</v>
      </c>
    </row>
    <row r="78" customFormat="false" ht="15" hidden="false" customHeight="false" outlineLevel="0" collapsed="false">
      <c r="A78" s="4" t="n">
        <v>45044</v>
      </c>
      <c r="B78" s="5" t="n">
        <v>464</v>
      </c>
      <c r="C78" s="5" t="n">
        <v>469</v>
      </c>
      <c r="D78" s="5" t="n">
        <v>416</v>
      </c>
      <c r="E78" s="6" t="n">
        <f aca="false">+C78-B78</f>
        <v>5</v>
      </c>
      <c r="F78" s="8" t="n">
        <f aca="false">+LN(B78/B77)*100</f>
        <v>17.8879212602982</v>
      </c>
      <c r="G78" s="8" t="n">
        <f aca="false">+LN(C78/C77)*100</f>
        <v>17.6793156577018</v>
      </c>
      <c r="H78" s="9" t="n">
        <v>17.8879212602982</v>
      </c>
      <c r="I78" s="9" t="n">
        <v>17.6793156577018</v>
      </c>
    </row>
    <row r="79" customFormat="false" ht="15" hidden="false" customHeight="false" outlineLevel="0" collapsed="false">
      <c r="A79" s="4" t="n">
        <v>45077</v>
      </c>
      <c r="B79" s="5" t="n">
        <v>485</v>
      </c>
      <c r="C79" s="5" t="n">
        <v>490</v>
      </c>
      <c r="D79" s="5" t="n">
        <f aca="false">+(B79+C79)/2</f>
        <v>487.5</v>
      </c>
      <c r="E79" s="6" t="n">
        <f aca="false">+C79-B79</f>
        <v>5</v>
      </c>
      <c r="F79" s="8" t="n">
        <f aca="false">+LN(B79/B78)*100</f>
        <v>4.4264338711228</v>
      </c>
      <c r="G79" s="8" t="n">
        <f aca="false">+LN(C79/C78)*100</f>
        <v>4.38026226583928</v>
      </c>
      <c r="H79" s="9" t="n">
        <v>4.4264338711228</v>
      </c>
      <c r="I79" s="9" t="n">
        <v>4.38026226583928</v>
      </c>
    </row>
    <row r="80" customFormat="false" ht="15" hidden="false" customHeight="false" outlineLevel="0" collapsed="false">
      <c r="A80" s="4" t="n">
        <v>45107</v>
      </c>
      <c r="B80" s="5" t="n">
        <v>488</v>
      </c>
      <c r="C80" s="5" t="n">
        <v>493</v>
      </c>
      <c r="D80" s="5" t="n">
        <f aca="false">+(B80+C80)/2</f>
        <v>490.5</v>
      </c>
      <c r="E80" s="6" t="n">
        <f aca="false">+C80-B80</f>
        <v>5</v>
      </c>
      <c r="F80" s="8" t="n">
        <f aca="false">+LN(B80/B79)*100</f>
        <v>0.616651491566396</v>
      </c>
      <c r="G80" s="8" t="n">
        <f aca="false">+LN(C80/C79)*100</f>
        <v>0.610378293801789</v>
      </c>
      <c r="H80" s="9" t="n">
        <v>0.616651491566396</v>
      </c>
      <c r="I80" s="9" t="n">
        <v>0.610378293801789</v>
      </c>
    </row>
    <row r="81" customFormat="false" ht="15" hidden="false" customHeight="false" outlineLevel="0" collapsed="false">
      <c r="A81" s="10" t="n">
        <v>45138</v>
      </c>
      <c r="B81" s="11" t="n">
        <v>545</v>
      </c>
      <c r="C81" s="11" t="n">
        <v>550</v>
      </c>
      <c r="D81" s="11" t="n">
        <f aca="false">+(B81+C81)/2</f>
        <v>547.5</v>
      </c>
      <c r="E81" s="12" t="n">
        <f aca="false">+C81-B81</f>
        <v>5</v>
      </c>
      <c r="F81" s="8" t="n">
        <f aca="false">+LN(B81/B80)*100</f>
        <v>11.0470388810097</v>
      </c>
      <c r="G81" s="8" t="n">
        <f aca="false">+LN(C81/C80)*100</f>
        <v>10.9409104183826</v>
      </c>
      <c r="H81" s="9" t="n">
        <v>11.0470388810097</v>
      </c>
      <c r="I81" s="9" t="n">
        <v>10.9409104183826</v>
      </c>
    </row>
    <row r="82" customFormat="false" ht="15" hidden="false" customHeight="false" outlineLevel="0" collapsed="false">
      <c r="A82" s="10" t="n">
        <v>45169</v>
      </c>
      <c r="B82" s="11" t="n">
        <v>720</v>
      </c>
      <c r="C82" s="11" t="n">
        <v>730</v>
      </c>
      <c r="D82" s="11" t="n">
        <f aca="false">+(B82+C82)/2</f>
        <v>725</v>
      </c>
      <c r="E82" s="12" t="n">
        <f aca="false">+C82-B82</f>
        <v>10</v>
      </c>
      <c r="F82" s="8" t="n">
        <f aca="false">+LN(B82/B81)*100</f>
        <v>27.8465417346857</v>
      </c>
      <c r="G82" s="8" t="n">
        <f aca="false">+LN(C82/C81)*100</f>
        <v>28.312625591592</v>
      </c>
      <c r="H82" s="9" t="n">
        <v>27.8465417346857</v>
      </c>
      <c r="I82" s="9" t="n">
        <v>28.312625591592</v>
      </c>
    </row>
    <row r="83" customFormat="false" ht="15" hidden="false" customHeight="false" outlineLevel="0" collapsed="false">
      <c r="A83" s="4" t="n">
        <v>45198</v>
      </c>
      <c r="B83" s="5" t="n">
        <v>790</v>
      </c>
      <c r="C83" s="5" t="n">
        <v>800</v>
      </c>
      <c r="D83" s="5" t="n">
        <f aca="false">+(B83+C83)/2</f>
        <v>795</v>
      </c>
      <c r="E83" s="6" t="n">
        <f aca="false">+C83-B83</f>
        <v>10</v>
      </c>
      <c r="F83" s="8" t="n">
        <f aca="false">+LN(B83/B82)*100</f>
        <v>9.27817334509663</v>
      </c>
      <c r="G83" s="8" t="n">
        <f aca="false">+LN(C83/C82)*100</f>
        <v>9.15671935254904</v>
      </c>
      <c r="H83" s="9" t="n">
        <v>9.27817334509663</v>
      </c>
      <c r="I83" s="9" t="n">
        <v>9.15671935254904</v>
      </c>
    </row>
    <row r="84" customFormat="false" ht="15" hidden="false" customHeight="false" outlineLevel="0" collapsed="false">
      <c r="A84" s="4" t="n">
        <v>45230</v>
      </c>
      <c r="B84" s="5" t="n">
        <v>870</v>
      </c>
      <c r="C84" s="5" t="n">
        <v>920</v>
      </c>
      <c r="D84" s="5" t="n">
        <f aca="false">+(B84+C84)/2</f>
        <v>895</v>
      </c>
      <c r="E84" s="6" t="n">
        <f aca="false">+C84-B84</f>
        <v>50</v>
      </c>
      <c r="F84" s="8" t="n">
        <f aca="false">+LN(B84/B83)*100</f>
        <v>9.64602661875623</v>
      </c>
      <c r="G84" s="8" t="n">
        <f aca="false">+LN(C84/C83)*100</f>
        <v>13.9761942375159</v>
      </c>
      <c r="H84" s="9" t="n">
        <v>9.64602661875623</v>
      </c>
      <c r="I84" s="9" t="n">
        <v>13.9761942375159</v>
      </c>
    </row>
    <row r="85" customFormat="false" ht="15" hidden="false" customHeight="false" outlineLevel="0" collapsed="false">
      <c r="A85" s="10" t="n">
        <v>45260</v>
      </c>
      <c r="B85" s="11" t="n">
        <v>855</v>
      </c>
      <c r="C85" s="11" t="n">
        <v>905</v>
      </c>
      <c r="D85" s="11" t="n">
        <f aca="false">+(B85+C85)/2</f>
        <v>880</v>
      </c>
      <c r="E85" s="12" t="n">
        <f aca="false">+C85-B85</f>
        <v>50</v>
      </c>
      <c r="F85" s="8" t="n">
        <f aca="false">+LN(B85/B84)*100</f>
        <v>-1.73917427118692</v>
      </c>
      <c r="G85" s="8" t="n">
        <f aca="false">+LN(C85/C84)*100</f>
        <v>-1.64387263431598</v>
      </c>
      <c r="H85" s="9" t="n">
        <v>-1.73917427118692</v>
      </c>
      <c r="I85" s="9" t="n">
        <v>-1.64387263431598</v>
      </c>
    </row>
    <row r="86" customFormat="false" ht="15" hidden="false" customHeight="false" outlineLevel="0" collapsed="false">
      <c r="A86" s="4" t="n">
        <v>45289</v>
      </c>
      <c r="B86" s="5" t="n">
        <v>975</v>
      </c>
      <c r="C86" s="5" t="n">
        <v>1025</v>
      </c>
      <c r="D86" s="5" t="n">
        <f aca="false">+(B86+C86)/2</f>
        <v>1000</v>
      </c>
      <c r="E86" s="6" t="n">
        <f aca="false">+C86-B86</f>
        <v>50</v>
      </c>
      <c r="F86" s="8" t="n">
        <f aca="false">+LN(B86/B85)*100</f>
        <v>13.1336002061087</v>
      </c>
      <c r="G86" s="8" t="n">
        <f aca="false">+LN(C86/C85)*100</f>
        <v>12.4512947872583</v>
      </c>
      <c r="H86" s="9" t="n">
        <v>13.1336002061087</v>
      </c>
      <c r="I86" s="9" t="n">
        <v>12.4512947872583</v>
      </c>
    </row>
    <row r="87" customFormat="false" ht="15" hidden="false" customHeight="false" outlineLevel="0" collapsed="false">
      <c r="A87" s="4" t="n">
        <v>45322</v>
      </c>
      <c r="B87" s="5" t="n">
        <v>1145</v>
      </c>
      <c r="C87" s="5" t="n">
        <v>1195</v>
      </c>
      <c r="D87" s="5" t="n">
        <f aca="false">+(B87+C87)/2</f>
        <v>1170</v>
      </c>
      <c r="E87" s="6" t="n">
        <f aca="false">+C87-B87</f>
        <v>50</v>
      </c>
      <c r="F87" s="8" t="n">
        <f aca="false">+LN(B87/B86)*100</f>
        <v>16.0722444990493</v>
      </c>
      <c r="G87" s="8" t="n">
        <f aca="false">+LN(C87/C86)*100</f>
        <v>15.3453572793102</v>
      </c>
      <c r="H87" s="9" t="n">
        <v>16.0722444990493</v>
      </c>
      <c r="I87" s="9" t="n">
        <v>15.3453572793102</v>
      </c>
    </row>
    <row r="88" customFormat="false" ht="15" hidden="false" customHeight="false" outlineLevel="0" collapsed="false">
      <c r="A88" s="10" t="n">
        <v>45351</v>
      </c>
      <c r="B88" s="11" t="n">
        <v>1015</v>
      </c>
      <c r="C88" s="11" t="n">
        <v>1045</v>
      </c>
      <c r="D88" s="11" t="n">
        <f aca="false">+(B88+C88)/2</f>
        <v>1030</v>
      </c>
      <c r="E88" s="12" t="n">
        <f aca="false">+C88-B88</f>
        <v>30</v>
      </c>
      <c r="F88" s="8" t="n">
        <f aca="false">+LN(B88/B87)*100</f>
        <v>-12.0516024512452</v>
      </c>
      <c r="G88" s="8" t="n">
        <f aca="false">+LN(C88/C87)*100</f>
        <v>-13.41292999667</v>
      </c>
      <c r="H88" s="16" t="n">
        <v>-12.0516024512452</v>
      </c>
      <c r="I88" s="9" t="n">
        <v>-13.41292999667</v>
      </c>
    </row>
    <row r="89" customFormat="false" ht="15" hidden="false" customHeight="false" outlineLevel="0" collapsed="false">
      <c r="A89" s="4" t="n">
        <v>45378</v>
      </c>
      <c r="B89" s="5" t="n">
        <v>980</v>
      </c>
      <c r="C89" s="5" t="n">
        <v>1010</v>
      </c>
      <c r="D89" s="5" t="n">
        <f aca="false">+(B89+C89)/2</f>
        <v>995</v>
      </c>
      <c r="E89" s="6" t="n">
        <f aca="false">+C89-B89</f>
        <v>30</v>
      </c>
      <c r="F89" s="8" t="n">
        <f aca="false">+LN(B89/B88)*100</f>
        <v>-3.50913198112701</v>
      </c>
      <c r="G89" s="8" t="n">
        <f aca="false">+LN(C89/C88)*100</f>
        <v>-3.40665545636062</v>
      </c>
      <c r="H89" s="16" t="n">
        <v>-3.50913198112701</v>
      </c>
      <c r="I89" s="9" t="n">
        <v>-3.40665545636062</v>
      </c>
    </row>
    <row r="90" customFormat="false" ht="15" hidden="false" customHeight="false" outlineLevel="0" collapsed="false">
      <c r="A90" s="4" t="n">
        <v>45412</v>
      </c>
      <c r="B90" s="5" t="n">
        <v>1010</v>
      </c>
      <c r="C90" s="5" t="n">
        <v>1040</v>
      </c>
      <c r="D90" s="5" t="n">
        <f aca="false">+(B90+C90)/2</f>
        <v>1025</v>
      </c>
      <c r="E90" s="6" t="n">
        <f aca="false">+C90-B90</f>
        <v>30</v>
      </c>
      <c r="F90" s="8" t="n">
        <f aca="false">+LN(B90/B89)*100</f>
        <v>3.01530381706875</v>
      </c>
      <c r="G90" s="8" t="n">
        <f aca="false">+LN(C90/C89)*100</f>
        <v>2.92703823001132</v>
      </c>
      <c r="H90" s="16" t="n">
        <v>3.01530381706875</v>
      </c>
      <c r="I90" s="9" t="n">
        <v>2.92703823001132</v>
      </c>
    </row>
    <row r="91" customFormat="false" ht="15" hidden="false" customHeight="false" outlineLevel="0" collapsed="false">
      <c r="A91" s="4" t="n">
        <v>45443</v>
      </c>
      <c r="B91" s="5" t="n">
        <v>1195</v>
      </c>
      <c r="C91" s="5" t="n">
        <v>1225</v>
      </c>
      <c r="D91" s="5" t="n">
        <f aca="false">+(B91+C91)/2</f>
        <v>1210</v>
      </c>
      <c r="E91" s="6" t="n">
        <f aca="false">+C91-B91</f>
        <v>30</v>
      </c>
      <c r="F91" s="8" t="n">
        <f aca="false">+LN(B91/B90)*100</f>
        <v>16.8195854530306</v>
      </c>
      <c r="G91" s="8" t="n">
        <f aca="false">+LN(C91/C90)*100</f>
        <v>16.3720130843409</v>
      </c>
      <c r="H91" s="9" t="n">
        <v>16.8195854530306</v>
      </c>
      <c r="I91" s="9" t="n">
        <v>16.3720130843409</v>
      </c>
    </row>
    <row r="92" customFormat="false" ht="15" hidden="false" customHeight="false" outlineLevel="0" collapsed="false">
      <c r="A92" s="10" t="n">
        <v>45471</v>
      </c>
      <c r="B92" s="11" t="n">
        <v>1335</v>
      </c>
      <c r="C92" s="11" t="n">
        <v>1365</v>
      </c>
      <c r="D92" s="11" t="n">
        <f aca="false">+(B92+C92)/2</f>
        <v>1350</v>
      </c>
      <c r="E92" s="12" t="n">
        <f aca="false">+C92-B92</f>
        <v>30</v>
      </c>
      <c r="F92" s="8" t="n">
        <f aca="false">+LN(B92/B91)*100</f>
        <v>11.0785106468739</v>
      </c>
      <c r="G92" s="8" t="n">
        <f aca="false">+LN(C92/C91)*100</f>
        <v>10.8213584640233</v>
      </c>
      <c r="H92" s="9" t="n">
        <v>11.0785106468739</v>
      </c>
      <c r="I92" s="9" t="n">
        <v>10.8213584640233</v>
      </c>
    </row>
    <row r="93" customFormat="false" ht="15" hidden="false" customHeight="false" outlineLevel="0" collapsed="false">
      <c r="A93" s="4" t="n">
        <v>45504</v>
      </c>
      <c r="B93" s="5" t="n">
        <v>1330</v>
      </c>
      <c r="C93" s="5" t="n">
        <v>1360</v>
      </c>
      <c r="D93" s="5" t="n">
        <f aca="false">+(B93+C93)/2</f>
        <v>1345</v>
      </c>
      <c r="E93" s="6" t="n">
        <f aca="false">+C93-B93</f>
        <v>30</v>
      </c>
      <c r="F93" s="8" t="n">
        <f aca="false">+LN(B93/B92)*100</f>
        <v>-0.375234961855046</v>
      </c>
      <c r="G93" s="8" t="n">
        <f aca="false">+LN(C93/C92)*100</f>
        <v>-0.36697288889624</v>
      </c>
      <c r="H93" s="9" t="n">
        <v>-0.375234961855046</v>
      </c>
      <c r="I93" s="9" t="n">
        <v>-0.36697288889624</v>
      </c>
    </row>
    <row r="94" customFormat="false" ht="15" hidden="false" customHeight="false" outlineLevel="0" collapsed="false">
      <c r="A94" s="4" t="n">
        <v>45534</v>
      </c>
      <c r="B94" s="5" t="n">
        <v>1275</v>
      </c>
      <c r="C94" s="5" t="n">
        <v>1305</v>
      </c>
      <c r="D94" s="5" t="n">
        <f aca="false">+(B94+C94)/2</f>
        <v>1290</v>
      </c>
      <c r="E94" s="6" t="n">
        <f aca="false">+C94-B94</f>
        <v>30</v>
      </c>
      <c r="F94" s="8" t="n">
        <f aca="false">+LN(B94/B93)*100</f>
        <v>-4.22327636232729</v>
      </c>
      <c r="G94" s="8" t="n">
        <f aca="false">+LN(C94/C93)*100</f>
        <v>-4.12816589733039</v>
      </c>
      <c r="H94" s="9" t="n">
        <v>-4.22327636232729</v>
      </c>
      <c r="I94" s="9" t="n">
        <v>-4.12816589733039</v>
      </c>
    </row>
    <row r="95" customFormat="false" ht="15" hidden="false" customHeight="false" outlineLevel="0" collapsed="false">
      <c r="A95" s="10" t="n">
        <v>45565</v>
      </c>
      <c r="B95" s="11" t="n">
        <v>1200</v>
      </c>
      <c r="C95" s="11" t="n">
        <v>1230</v>
      </c>
      <c r="D95" s="11" t="n">
        <f aca="false">+(B95+C95)/2</f>
        <v>1215</v>
      </c>
      <c r="E95" s="12" t="n">
        <f aca="false">+C95-B95</f>
        <v>30</v>
      </c>
      <c r="F95" s="8" t="n">
        <f aca="false">+LN(B95/B94)*100</f>
        <v>-6.06246218164349</v>
      </c>
      <c r="G95" s="8" t="n">
        <f aca="false">+LN(C95/C94)*100</f>
        <v>-5.91888713903307</v>
      </c>
      <c r="H95" s="9" t="n">
        <v>-6.06246218164349</v>
      </c>
      <c r="I95" s="9" t="n">
        <v>-5.91888713903307</v>
      </c>
    </row>
    <row r="96" customFormat="false" ht="15" hidden="false" customHeight="false" outlineLevel="0" collapsed="false">
      <c r="A96" s="10" t="n">
        <v>45596</v>
      </c>
      <c r="B96" s="11" t="n">
        <v>1150</v>
      </c>
      <c r="C96" s="11" t="n">
        <v>1180</v>
      </c>
      <c r="D96" s="11" t="n">
        <f aca="false">+(B96+C96)/2</f>
        <v>1165</v>
      </c>
      <c r="E96" s="12" t="n">
        <f aca="false">+C96-B96</f>
        <v>30</v>
      </c>
      <c r="F96" s="8" t="n">
        <f aca="false">+LN(B96/B95)*100</f>
        <v>-4.25596144187959</v>
      </c>
      <c r="G96" s="8" t="n">
        <f aca="false">+LN(C96/C95)*100</f>
        <v>-4.14997309067527</v>
      </c>
      <c r="H96" s="9" t="n">
        <v>-4.25596144187959</v>
      </c>
      <c r="I96" s="9" t="n">
        <v>-4.14997309067527</v>
      </c>
    </row>
    <row r="97" customFormat="false" ht="15" hidden="false" customHeight="false" outlineLevel="0" collapsed="false">
      <c r="A97" s="10" t="n">
        <v>45625</v>
      </c>
      <c r="B97" s="11" t="n">
        <v>1090</v>
      </c>
      <c r="C97" s="11" t="n">
        <v>1120</v>
      </c>
      <c r="D97" s="11" t="n">
        <f aca="false">+(B97+C97)/2</f>
        <v>1105</v>
      </c>
      <c r="E97" s="12" t="n">
        <f aca="false">+C97-B97</f>
        <v>30</v>
      </c>
      <c r="F97" s="8" t="n">
        <f aca="false">+LN(B97/B96)*100</f>
        <v>-5.35842461341064</v>
      </c>
      <c r="G97" s="8" t="n">
        <f aca="false">+LN(C97/C96)*100</f>
        <v>-5.21857531705702</v>
      </c>
      <c r="H97" s="9" t="n">
        <v>-5.35842461341064</v>
      </c>
      <c r="I97" s="9" t="n">
        <v>-5.21857531705702</v>
      </c>
    </row>
    <row r="98" customFormat="false" ht="15" hidden="false" customHeight="false" outlineLevel="0" collapsed="false">
      <c r="A98" s="10" t="n">
        <v>45657</v>
      </c>
      <c r="B98" s="11" t="n">
        <v>1210</v>
      </c>
      <c r="C98" s="11" t="n">
        <v>1230</v>
      </c>
      <c r="D98" s="11" t="n">
        <f aca="false">+(B98+C98)/2</f>
        <v>1220</v>
      </c>
      <c r="E98" s="12" t="n">
        <f aca="false">+C98-B98</f>
        <v>20</v>
      </c>
      <c r="F98" s="8" t="n">
        <f aca="false">+LN(B98/B97)*100</f>
        <v>10.4442663367597</v>
      </c>
      <c r="G98" s="8" t="n">
        <f aca="false">+LN(C98/C97)*100</f>
        <v>9.3685484077323</v>
      </c>
      <c r="H98" s="9" t="n">
        <v>10.4442663367597</v>
      </c>
      <c r="I98" s="9" t="n">
        <v>9.3685484077323</v>
      </c>
    </row>
    <row r="99" customFormat="false" ht="15" hidden="false" customHeight="false" outlineLevel="0" collapsed="false">
      <c r="A99" s="4" t="n">
        <v>45688</v>
      </c>
      <c r="B99" s="5" t="n">
        <v>1200</v>
      </c>
      <c r="C99" s="5" t="n">
        <v>1220</v>
      </c>
      <c r="D99" s="5" t="n">
        <f aca="false">+(B99+C99)/2</f>
        <v>1210</v>
      </c>
      <c r="E99" s="6" t="n">
        <f aca="false">+C99-B99</f>
        <v>20</v>
      </c>
      <c r="F99" s="8" t="n">
        <f aca="false">+LN(B99/B98)*100</f>
        <v>-0.829880281469507</v>
      </c>
      <c r="G99" s="8" t="n">
        <f aca="false">+LN(C99/C98)*100</f>
        <v>-0.816331063916098</v>
      </c>
      <c r="H99" s="9" t="n">
        <v>-0.829880281469507</v>
      </c>
      <c r="I99" s="9" t="n">
        <v>-0.816331063916098</v>
      </c>
    </row>
    <row r="100" customFormat="false" ht="15" hidden="false" customHeight="false" outlineLevel="0" collapsed="false">
      <c r="A100" s="4" t="n">
        <v>45716</v>
      </c>
      <c r="B100" s="5" t="n">
        <v>1205</v>
      </c>
      <c r="C100" s="5" t="n">
        <v>1225</v>
      </c>
      <c r="D100" s="5" t="n">
        <f aca="false">+(B100+C100)/2</f>
        <v>1215</v>
      </c>
      <c r="E100" s="6" t="n">
        <f aca="false">+C100-B100</f>
        <v>20</v>
      </c>
      <c r="F100" s="8" t="n">
        <f aca="false">+LN(B100/B99)*100</f>
        <v>0.415801014866368</v>
      </c>
      <c r="G100" s="8" t="n">
        <f aca="false">+LN(C100/C99)*100</f>
        <v>0.408998525152507</v>
      </c>
      <c r="H100" s="9" t="n">
        <v>0.415801014866368</v>
      </c>
      <c r="I100" s="9" t="n">
        <v>0.408998525152507</v>
      </c>
    </row>
    <row r="101" customFormat="false" ht="15" hidden="false" customHeight="false" outlineLevel="0" collapsed="false">
      <c r="A101" s="4" t="n">
        <v>45747</v>
      </c>
      <c r="B101" s="5" t="n">
        <v>1280</v>
      </c>
      <c r="C101" s="5" t="n">
        <v>1300</v>
      </c>
      <c r="D101" s="5" t="n">
        <f aca="false">+(B101+C101)/2</f>
        <v>1290</v>
      </c>
      <c r="E101" s="6" t="n">
        <f aca="false">+C101-B101</f>
        <v>20</v>
      </c>
      <c r="F101" s="8" t="n">
        <f aca="false">+LN(B101/B100)*100</f>
        <v>6.03805109889075</v>
      </c>
      <c r="G101" s="8" t="n">
        <f aca="false">+LN(C101/C100)*100</f>
        <v>5.94234204708008</v>
      </c>
      <c r="H101" s="9" t="n">
        <v>6.03805109889075</v>
      </c>
      <c r="I101" s="9" t="n">
        <v>5.94234204708008</v>
      </c>
    </row>
    <row r="102" customFormat="false" ht="15" hidden="false" customHeight="false" outlineLevel="0" collapsed="false">
      <c r="A102" s="10" t="n">
        <v>45777</v>
      </c>
      <c r="B102" s="11" t="n">
        <v>1165</v>
      </c>
      <c r="C102" s="11" t="n">
        <v>1185</v>
      </c>
      <c r="D102" s="11" t="n">
        <f aca="false">+(B102+C102)/2</f>
        <v>1175</v>
      </c>
      <c r="E102" s="12" t="n">
        <f aca="false">+C102-B102</f>
        <v>20</v>
      </c>
      <c r="F102" s="8" t="n">
        <f aca="false">+LN(B102/B101)*100</f>
        <v>-9.41389909138619</v>
      </c>
      <c r="G102" s="8" t="n">
        <f aca="false">+LN(C102/C101)*100</f>
        <v>-9.26214898803966</v>
      </c>
      <c r="H102" s="9" t="n">
        <v>-9.41389909138619</v>
      </c>
      <c r="I102" s="9" t="n">
        <v>-9.26214898803966</v>
      </c>
    </row>
    <row r="103" customFormat="false" ht="15" hidden="false" customHeight="false" outlineLevel="0" collapsed="false">
      <c r="A103" s="10" t="n">
        <v>45807</v>
      </c>
      <c r="B103" s="11" t="n">
        <v>1160</v>
      </c>
      <c r="C103" s="11" t="n">
        <v>1180</v>
      </c>
      <c r="D103" s="11" t="n">
        <f aca="false">+(B103+C103)/2</f>
        <v>1170</v>
      </c>
      <c r="E103" s="12" t="n">
        <f aca="false">+C103-B103</f>
        <v>20</v>
      </c>
      <c r="F103" s="8" t="n">
        <f aca="false">+LN(B103/B102)*100</f>
        <v>-0.430108189939059</v>
      </c>
      <c r="G103" s="8" t="n">
        <f aca="false">+LN(C103/C102)*100</f>
        <v>-0.422833610952106</v>
      </c>
      <c r="H103" s="9" t="n">
        <v>-0.430108189939059</v>
      </c>
      <c r="I103" s="9" t="n">
        <v>-0.422833610952106</v>
      </c>
    </row>
    <row r="104" customFormat="false" ht="15" hidden="false" customHeight="false" outlineLevel="0" collapsed="false">
      <c r="A104" s="10" t="n">
        <v>45838</v>
      </c>
      <c r="B104" s="11" t="n">
        <v>1195</v>
      </c>
      <c r="C104" s="11" t="n">
        <v>1215</v>
      </c>
      <c r="D104" s="11" t="n">
        <f aca="false">+(B104+C104)/2</f>
        <v>1205</v>
      </c>
      <c r="E104" s="12" t="n">
        <f aca="false">+C104-B104</f>
        <v>20</v>
      </c>
      <c r="F104" s="8" t="n">
        <f aca="false">+LN(B104/B103)*100</f>
        <v>2.97261802652007</v>
      </c>
      <c r="G104" s="8" t="n">
        <f aca="false">+LN(C104/C103)*100</f>
        <v>2.92296383149383</v>
      </c>
      <c r="H104" s="9" t="n">
        <v>2.97261802652007</v>
      </c>
      <c r="I104" s="9" t="n">
        <v>2.92296383149383</v>
      </c>
    </row>
    <row r="105" customFormat="false" ht="15" hidden="false" customHeight="false" outlineLevel="0" collapsed="false">
      <c r="A105" s="4" t="n">
        <v>45869</v>
      </c>
      <c r="B105" s="5" t="n">
        <v>1315</v>
      </c>
      <c r="C105" s="5" t="n">
        <v>1335</v>
      </c>
      <c r="D105" s="5" t="n">
        <f aca="false">+(B105+C105)/2</f>
        <v>1325</v>
      </c>
      <c r="E105" s="6" t="n">
        <f aca="false">+C105-B105</f>
        <v>20</v>
      </c>
      <c r="F105" s="8" t="n">
        <f aca="false">+LN(B105/B104)*100</f>
        <v>9.56904802462539</v>
      </c>
      <c r="G105" s="8" t="n">
        <f aca="false">+LN(C105/C104)*100</f>
        <v>9.41872150597011</v>
      </c>
      <c r="H105" s="9" t="n">
        <v>9.56904802462539</v>
      </c>
      <c r="I105" s="9" t="n">
        <v>9.41872150597011</v>
      </c>
    </row>
    <row r="106" customFormat="false" ht="15" hidden="false" customHeight="false" outlineLevel="0" collapsed="false">
      <c r="A106" s="4" t="n">
        <v>45898</v>
      </c>
      <c r="B106" s="5" t="n">
        <v>1330</v>
      </c>
      <c r="C106" s="5" t="n">
        <v>1350</v>
      </c>
      <c r="D106" s="5" t="n">
        <f aca="false">+(B106+C106)/2</f>
        <v>1340</v>
      </c>
      <c r="E106" s="6" t="n">
        <f aca="false">+C106-B106</f>
        <v>20</v>
      </c>
      <c r="F106" s="8" t="n">
        <f aca="false">+LN(B106/B105)*100</f>
        <v>1.13422766039345</v>
      </c>
      <c r="G106" s="8" t="n">
        <f aca="false">+LN(C106/C105)*100</f>
        <v>1.11733005981253</v>
      </c>
      <c r="H106" s="9" t="n">
        <v>1.13422766039345</v>
      </c>
      <c r="I106" s="9" t="n">
        <v>1.11733005981253</v>
      </c>
    </row>
    <row r="107" customFormat="false" ht="15" hidden="false" customHeight="false" outlineLevel="0" collapsed="false">
      <c r="A107" s="4" t="n">
        <v>45930</v>
      </c>
      <c r="B107" s="5" t="n">
        <v>1425</v>
      </c>
      <c r="C107" s="5" t="n">
        <v>1445</v>
      </c>
      <c r="D107" s="5" t="n">
        <f aca="false">+(B107+C107)/2</f>
        <v>1435</v>
      </c>
      <c r="E107" s="6" t="n">
        <f aca="false">+C107-B107</f>
        <v>20</v>
      </c>
      <c r="F107" s="8" t="n">
        <f aca="false">+LN(B107/B106)*100</f>
        <v>6.89928714869514</v>
      </c>
      <c r="G107" s="8" t="n">
        <f aca="false">+LN(C107/C106)*100</f>
        <v>6.80047291140575</v>
      </c>
      <c r="H107" s="9" t="n">
        <v>6.89928714869514</v>
      </c>
      <c r="I107" s="9" t="n">
        <v>6.80047291140575</v>
      </c>
    </row>
    <row r="108" customFormat="false" ht="15" hidden="false" customHeight="false" outlineLevel="0" collapsed="false">
      <c r="A108" s="10" t="n">
        <v>45961</v>
      </c>
      <c r="B108" s="11" t="n">
        <v>1425</v>
      </c>
      <c r="C108" s="11" t="n">
        <v>1445</v>
      </c>
      <c r="D108" s="11" t="n">
        <f aca="false">+(B108+C108)/2</f>
        <v>1435</v>
      </c>
      <c r="E108" s="12" t="n">
        <f aca="false">+C108-B108</f>
        <v>20</v>
      </c>
      <c r="F108" s="8" t="n">
        <f aca="false">+LN(B108/B107)*100</f>
        <v>0</v>
      </c>
      <c r="G108" s="8" t="n">
        <f aca="false">+LN(C108/C107)*100</f>
        <v>0</v>
      </c>
      <c r="H108" s="9" t="n">
        <v>0</v>
      </c>
      <c r="I108" s="9" t="n">
        <v>0</v>
      </c>
    </row>
    <row r="109" customFormat="false" ht="15" hidden="false" customHeight="false" outlineLevel="0" collapsed="false">
      <c r="A109" s="10" t="n">
        <v>45989</v>
      </c>
      <c r="B109" s="11" t="n">
        <v>1415</v>
      </c>
      <c r="C109" s="11" t="n">
        <v>1435</v>
      </c>
      <c r="D109" s="11" t="n">
        <f aca="false">+(B109+C109)/2</f>
        <v>1425</v>
      </c>
      <c r="E109" s="12" t="n">
        <f aca="false">+C109-B109</f>
        <v>20</v>
      </c>
      <c r="F109" s="8" t="n">
        <f aca="false">+LN(B109/B108)*100</f>
        <v>-0.704228262541292</v>
      </c>
      <c r="G109" s="8" t="n">
        <f aca="false">+LN(C109/C108)*100</f>
        <v>-0.694447235281105</v>
      </c>
      <c r="H109" s="9" t="n">
        <v>-0.704228262541292</v>
      </c>
      <c r="I109" s="9" t="n">
        <v>-0.694447235281105</v>
      </c>
    </row>
    <row r="110" customFormat="false" ht="15" hidden="false" customHeight="false" outlineLevel="0" collapsed="false">
      <c r="A110" s="10" t="n">
        <v>46021</v>
      </c>
      <c r="B110" s="11" t="n">
        <v>1510</v>
      </c>
      <c r="C110" s="11" t="n">
        <v>1530</v>
      </c>
      <c r="D110" s="11" t="n">
        <f aca="false">+(B110+C110)/2</f>
        <v>1520</v>
      </c>
      <c r="E110" s="12" t="n">
        <f aca="false">+C110-B110</f>
        <v>20</v>
      </c>
      <c r="F110" s="8" t="n">
        <f aca="false">+LN(B110/B109)*100</f>
        <v>6.49801197316321</v>
      </c>
      <c r="G110" s="8" t="n">
        <f aca="false">+LN(C110/C109)*100</f>
        <v>6.41028861927596</v>
      </c>
      <c r="H110" s="9" t="n">
        <v>6.49801197316321</v>
      </c>
      <c r="I110" s="9" t="n">
        <v>6.41028861927596</v>
      </c>
    </row>
    <row r="111" customFormat="false" ht="15" hidden="false" customHeight="false" outlineLevel="0" collapsed="false">
      <c r="A111" s="4" t="n">
        <v>46052</v>
      </c>
      <c r="B111" s="5" t="n">
        <v>1450</v>
      </c>
      <c r="C111" s="5" t="n">
        <v>1470</v>
      </c>
      <c r="D111" s="5" t="n">
        <f aca="false">+(B111+C111)/2</f>
        <v>1460</v>
      </c>
      <c r="E111" s="6" t="n">
        <f aca="false">+C111-B111</f>
        <v>20</v>
      </c>
      <c r="F111" s="8" t="n">
        <f aca="false">+LN(B111/B110)*100</f>
        <v>-4.05460943943499</v>
      </c>
      <c r="G111" s="8" t="n">
        <f aca="false">+LN(C111/C110)*100</f>
        <v>-4.00053346136991</v>
      </c>
      <c r="H111" s="9" t="n">
        <v>-4.05460943943499</v>
      </c>
      <c r="I111" s="9" t="n">
        <v>-4.00053346136991</v>
      </c>
    </row>
    <row r="112" customFormat="false" ht="15" hidden="false" customHeight="false" outlineLevel="0" collapsed="false">
      <c r="A112" s="4" t="n">
        <v>46080</v>
      </c>
      <c r="B112" s="5" t="n">
        <v>1405</v>
      </c>
      <c r="C112" s="5" t="n">
        <v>1425</v>
      </c>
      <c r="D112" s="5" t="n">
        <f aca="false">+(B112+C112)/2</f>
        <v>1415</v>
      </c>
      <c r="E112" s="6" t="n">
        <f aca="false">+C112-B112</f>
        <v>20</v>
      </c>
      <c r="F112" s="8" t="n">
        <f aca="false">+LN(B112/B111)*100</f>
        <v>-3.15262536467739</v>
      </c>
      <c r="G112" s="8" t="n">
        <f aca="false">+LN(C112/C111)*100</f>
        <v>-3.10905870700311</v>
      </c>
      <c r="H112" s="9" t="n">
        <v>-3.15262536467739</v>
      </c>
      <c r="I112" s="9" t="n">
        <v>-3.10905870700311</v>
      </c>
    </row>
    <row r="113" customFormat="false" ht="15" hidden="false" customHeight="false" outlineLevel="0" collapsed="false">
      <c r="A113" s="4" t="n">
        <v>46112</v>
      </c>
      <c r="B113" s="5" t="n">
        <v>1390</v>
      </c>
      <c r="C113" s="5" t="n">
        <v>1410</v>
      </c>
      <c r="D113" s="5" t="n">
        <f aca="false">+(B113+C113)/2</f>
        <v>1400</v>
      </c>
      <c r="E113" s="6" t="n">
        <f aca="false">+C113-B113</f>
        <v>20</v>
      </c>
      <c r="F113" s="8" t="n">
        <f aca="false">+LN(B113/B112)*100</f>
        <v>-1.07335556431087</v>
      </c>
      <c r="G113" s="8" t="n">
        <f aca="false">+LN(C113/C112)*100</f>
        <v>-1.0582109330537</v>
      </c>
      <c r="H113" s="9" t="n">
        <v>-1.07335556431087</v>
      </c>
      <c r="I113" s="9" t="n">
        <v>-1.0582109330537</v>
      </c>
    </row>
    <row r="114" customFormat="false" ht="15" hidden="false" customHeight="false" outlineLevel="0" collapsed="false">
      <c r="A114" s="4" t="n">
        <v>46142</v>
      </c>
      <c r="B114" s="5" t="n">
        <v>1380</v>
      </c>
      <c r="C114" s="5" t="n">
        <v>1400</v>
      </c>
      <c r="D114" s="5" t="n">
        <f aca="false">+(B114+C114)/2</f>
        <v>1390</v>
      </c>
      <c r="E114" s="6" t="n">
        <f aca="false">+C114-B114</f>
        <v>20</v>
      </c>
      <c r="F114" s="8" t="n">
        <f aca="false">+LN(B114/B113)*100</f>
        <v>-0.722024797348702</v>
      </c>
      <c r="G114" s="8" t="n">
        <f aca="false">+LN(C114/C113)*100</f>
        <v>-0.711746776886399</v>
      </c>
      <c r="H114" s="9" t="n">
        <v>-0.722024797348702</v>
      </c>
      <c r="I114" s="9" t="n">
        <v>-0.711746776886399</v>
      </c>
    </row>
    <row r="115" customFormat="false" ht="15" hidden="false" customHeight="false" outlineLevel="0" collapsed="false">
      <c r="A115" s="4" t="n">
        <v>46173</v>
      </c>
      <c r="B115" s="5" t="n">
        <v>1415</v>
      </c>
      <c r="C115" s="5" t="n">
        <v>1435</v>
      </c>
      <c r="D115" s="5" t="n">
        <f aca="false">+(B115+C115)/2</f>
        <v>1425</v>
      </c>
      <c r="E115" s="6" t="n">
        <f aca="false">+C115-B115</f>
        <v>20</v>
      </c>
      <c r="F115" s="8" t="n">
        <f aca="false">+LN(B115/B114)*100</f>
        <v>2.50460319260875</v>
      </c>
      <c r="G115" s="8" t="n">
        <f aca="false">+LN(C115/C114)*100</f>
        <v>2.46926125903714</v>
      </c>
      <c r="H115" s="9" t="n">
        <v>2.50460319260875</v>
      </c>
      <c r="I115" s="9" t="n">
        <v>2.46926125903714</v>
      </c>
    </row>
    <row r="116" customFormat="false" ht="15" hidden="false" customHeight="false" outlineLevel="0" collapsed="false">
      <c r="A116" s="17" t="n">
        <v>46203</v>
      </c>
      <c r="B116" s="11" t="n">
        <v>1495</v>
      </c>
      <c r="C116" s="11" t="n">
        <v>1515</v>
      </c>
      <c r="D116" s="11" t="n">
        <f aca="false">+(B116+C116)/2</f>
        <v>1505</v>
      </c>
      <c r="E116" s="12" t="n">
        <f aca="false">+C116-B116</f>
        <v>20</v>
      </c>
      <c r="F116" s="8" t="n">
        <f aca="false">+LN(B116/B115)*100</f>
        <v>5.49966757474488</v>
      </c>
      <c r="G116" s="8" t="n">
        <f aca="false">+LN(C116/C115)*100</f>
        <v>5.4250589749748</v>
      </c>
      <c r="H116" s="9" t="n">
        <v>5.49966757474488</v>
      </c>
      <c r="I116" s="9" t="n">
        <v>5.4250589749748</v>
      </c>
    </row>
    <row r="117" customFormat="false" ht="15" hidden="false" customHeight="false" outlineLevel="0" collapsed="false">
      <c r="A117" s="17" t="n">
        <v>46234</v>
      </c>
      <c r="B117" s="11" t="n">
        <v>1540</v>
      </c>
      <c r="C117" s="11" t="n">
        <v>1560</v>
      </c>
      <c r="D117" s="11" t="n">
        <f aca="false">+(B117+C117)/2</f>
        <v>1550</v>
      </c>
      <c r="E117" s="12" t="n">
        <f aca="false">+C117-B117</f>
        <v>20</v>
      </c>
      <c r="F117" s="8" t="n">
        <f aca="false">+LN(B117/B116)*100</f>
        <v>2.9656209582888</v>
      </c>
      <c r="G117" s="8" t="n">
        <f aca="false">+LN(C117/C116)*100</f>
        <v>2.92703823001132</v>
      </c>
      <c r="H117" s="9" t="n">
        <v>2.9656209582888</v>
      </c>
      <c r="I117" s="9" t="n">
        <v>2.92703823001132</v>
      </c>
    </row>
    <row r="118" customFormat="false" ht="15" hidden="false" customHeight="false" outlineLevel="0" collapsed="false">
      <c r="A118" s="17" t="n">
        <v>46265</v>
      </c>
      <c r="B118" s="11" t="n">
        <v>1535</v>
      </c>
      <c r="C118" s="11" t="n">
        <v>1555</v>
      </c>
      <c r="D118" s="11" t="n">
        <f aca="false">+(B118+C118)/2</f>
        <v>1545</v>
      </c>
      <c r="E118" s="12" t="n">
        <f aca="false">+C118-B118</f>
        <v>20</v>
      </c>
      <c r="F118" s="8" t="n">
        <f aca="false">+LN(B118/B117)*100</f>
        <v>-0.325203538637734</v>
      </c>
      <c r="G118" s="8" t="n">
        <f aca="false">+LN(C118/C117)*100</f>
        <v>-0.321027563024821</v>
      </c>
      <c r="H118" s="9" t="n">
        <v>-0.325203538637734</v>
      </c>
      <c r="I118" s="9" t="n">
        <v>-0.321027563024821</v>
      </c>
    </row>
    <row r="119" customFormat="false" ht="15" hidden="false" customHeight="false" outlineLevel="0" collapsed="false">
      <c r="A119" s="17" t="n">
        <v>46295</v>
      </c>
      <c r="B119" s="11" t="n">
        <v>1540</v>
      </c>
      <c r="C119" s="11" t="n">
        <v>1560</v>
      </c>
      <c r="D119" s="11" t="n">
        <f aca="false">+(B119+C119)/2</f>
        <v>1550</v>
      </c>
      <c r="E119" s="12" t="n">
        <f aca="false">+C119-B119</f>
        <v>20</v>
      </c>
      <c r="F119" s="8" t="n">
        <f aca="false">+LN(B119/B118)*100</f>
        <v>0.325203538637732</v>
      </c>
      <c r="G119" s="8" t="n">
        <f aca="false">+LN(C119/C118)*100</f>
        <v>0.321027563024819</v>
      </c>
      <c r="H119" s="9" t="n">
        <v>0.325203538637732</v>
      </c>
      <c r="I119" s="9" t="n">
        <v>0.321027563024819</v>
      </c>
    </row>
    <row r="120" customFormat="false" ht="14.25" hidden="false" customHeight="false" outlineLevel="0" collapsed="false">
      <c r="A120" s="18"/>
      <c r="E120" s="19"/>
    </row>
    <row r="121" customFormat="false" ht="14.25" hidden="false" customHeight="false" outlineLevel="0" collapsed="false">
      <c r="A121" s="18"/>
      <c r="E121" s="19"/>
    </row>
    <row r="122" customFormat="false" ht="14.25" hidden="false" customHeight="false" outlineLevel="0" collapsed="false">
      <c r="A122" s="18"/>
      <c r="E122" s="19"/>
    </row>
    <row r="123" customFormat="false" ht="14.25" hidden="false" customHeight="false" outlineLevel="0" collapsed="false">
      <c r="A123" s="18"/>
      <c r="E123" s="19"/>
    </row>
    <row r="124" customFormat="false" ht="14.25" hidden="false" customHeight="false" outlineLevel="0" collapsed="false">
      <c r="A124" s="18"/>
      <c r="E124" s="19"/>
    </row>
    <row r="125" customFormat="false" ht="14.25" hidden="false" customHeight="false" outlineLevel="0" collapsed="false">
      <c r="A125" s="18"/>
      <c r="E125" s="19"/>
    </row>
    <row r="126" customFormat="false" ht="14.25" hidden="false" customHeight="false" outlineLevel="0" collapsed="false">
      <c r="A126" s="18"/>
      <c r="E126" s="19"/>
    </row>
    <row r="127" customFormat="false" ht="14.25" hidden="false" customHeight="false" outlineLevel="0" collapsed="false">
      <c r="A127" s="18"/>
      <c r="E127" s="19"/>
    </row>
    <row r="128" customFormat="false" ht="14.25" hidden="false" customHeight="false" outlineLevel="0" collapsed="false">
      <c r="A128" s="18"/>
      <c r="E128" s="19"/>
    </row>
    <row r="129" customFormat="false" ht="14.25" hidden="false" customHeight="false" outlineLevel="0" collapsed="false">
      <c r="A129" s="18"/>
      <c r="E129" s="19"/>
    </row>
    <row r="130" customFormat="false" ht="14.25" hidden="false" customHeight="false" outlineLevel="0" collapsed="false">
      <c r="A130" s="18"/>
      <c r="E130" s="19"/>
    </row>
    <row r="131" customFormat="false" ht="14.25" hidden="false" customHeight="false" outlineLevel="0" collapsed="false">
      <c r="A131" s="18"/>
      <c r="E131" s="19"/>
    </row>
    <row r="132" customFormat="false" ht="14.25" hidden="false" customHeight="false" outlineLevel="0" collapsed="false">
      <c r="A132" s="18"/>
      <c r="E132" s="19"/>
    </row>
    <row r="133" customFormat="false" ht="14.25" hidden="false" customHeight="false" outlineLevel="0" collapsed="false">
      <c r="A133" s="18"/>
      <c r="E133" s="19"/>
    </row>
    <row r="134" customFormat="false" ht="14.25" hidden="false" customHeight="false" outlineLevel="0" collapsed="false">
      <c r="A134" s="18"/>
      <c r="E134" s="19"/>
    </row>
    <row r="135" customFormat="false" ht="14.25" hidden="false" customHeight="false" outlineLevel="0" collapsed="false">
      <c r="A135" s="18"/>
      <c r="E135" s="19"/>
    </row>
    <row r="136" customFormat="false" ht="14.25" hidden="false" customHeight="false" outlineLevel="0" collapsed="false">
      <c r="A136" s="18"/>
      <c r="E136" s="19"/>
    </row>
    <row r="137" customFormat="false" ht="14.25" hidden="false" customHeight="false" outlineLevel="0" collapsed="false">
      <c r="A137" s="18"/>
      <c r="E137" s="19"/>
    </row>
    <row r="138" customFormat="false" ht="14.25" hidden="false" customHeight="false" outlineLevel="0" collapsed="false">
      <c r="A138" s="18"/>
      <c r="E138" s="19"/>
    </row>
    <row r="139" customFormat="false" ht="14.25" hidden="false" customHeight="false" outlineLevel="0" collapsed="false">
      <c r="A139" s="18"/>
      <c r="E139" s="19"/>
    </row>
    <row r="140" customFormat="false" ht="14.25" hidden="false" customHeight="false" outlineLevel="0" collapsed="false">
      <c r="A140" s="18"/>
      <c r="E140" s="19"/>
    </row>
    <row r="141" customFormat="false" ht="14.25" hidden="false" customHeight="false" outlineLevel="0" collapsed="false">
      <c r="A141" s="18"/>
      <c r="E141" s="19"/>
    </row>
    <row r="142" customFormat="false" ht="14.25" hidden="false" customHeight="false" outlineLevel="0" collapsed="false">
      <c r="A142" s="18"/>
      <c r="E142" s="19"/>
    </row>
    <row r="143" customFormat="false" ht="14.25" hidden="false" customHeight="false" outlineLevel="0" collapsed="false">
      <c r="A143" s="18"/>
      <c r="E143" s="19"/>
    </row>
    <row r="144" customFormat="false" ht="14.25" hidden="false" customHeight="false" outlineLevel="0" collapsed="false">
      <c r="A144" s="18"/>
      <c r="E144" s="19"/>
    </row>
    <row r="145" customFormat="false" ht="14.25" hidden="false" customHeight="false" outlineLevel="0" collapsed="false">
      <c r="A145" s="18"/>
      <c r="E145" s="19"/>
    </row>
    <row r="146" customFormat="false" ht="14.25" hidden="false" customHeight="false" outlineLevel="0" collapsed="false">
      <c r="A146" s="18"/>
      <c r="E146" s="19"/>
    </row>
    <row r="147" customFormat="false" ht="14.25" hidden="false" customHeight="false" outlineLevel="0" collapsed="false">
      <c r="A147" s="18"/>
      <c r="E147" s="19"/>
    </row>
    <row r="148" customFormat="false" ht="14.25" hidden="false" customHeight="false" outlineLevel="0" collapsed="false">
      <c r="A148" s="18"/>
      <c r="E148" s="19"/>
    </row>
    <row r="149" customFormat="false" ht="14.25" hidden="false" customHeight="false" outlineLevel="0" collapsed="false">
      <c r="A149" s="18"/>
      <c r="E149" s="19"/>
    </row>
    <row r="150" customFormat="false" ht="14.25" hidden="false" customHeight="false" outlineLevel="0" collapsed="false">
      <c r="A150" s="18"/>
      <c r="E150" s="19"/>
    </row>
    <row r="151" customFormat="false" ht="14.25" hidden="false" customHeight="false" outlineLevel="0" collapsed="false">
      <c r="A151" s="18"/>
      <c r="E151" s="19"/>
    </row>
    <row r="152" customFormat="false" ht="14.25" hidden="false" customHeight="false" outlineLevel="0" collapsed="false">
      <c r="A152" s="18"/>
      <c r="E152" s="19"/>
    </row>
    <row r="153" customFormat="false" ht="14.25" hidden="false" customHeight="false" outlineLevel="0" collapsed="false">
      <c r="A153" s="18"/>
      <c r="E153" s="19"/>
    </row>
    <row r="154" customFormat="false" ht="14.25" hidden="false" customHeight="false" outlineLevel="0" collapsed="false">
      <c r="A154" s="18"/>
      <c r="E154" s="19"/>
    </row>
    <row r="155" customFormat="false" ht="14.25" hidden="false" customHeight="false" outlineLevel="0" collapsed="false">
      <c r="A155" s="18"/>
      <c r="E155" s="19"/>
    </row>
    <row r="156" customFormat="false" ht="14.25" hidden="false" customHeight="false" outlineLevel="0" collapsed="false">
      <c r="A156" s="18"/>
      <c r="E156" s="19"/>
    </row>
    <row r="157" customFormat="false" ht="14.25" hidden="false" customHeight="false" outlineLevel="0" collapsed="false">
      <c r="A157" s="18"/>
      <c r="E157" s="19"/>
    </row>
    <row r="158" customFormat="false" ht="14.25" hidden="false" customHeight="false" outlineLevel="0" collapsed="false">
      <c r="A158" s="18"/>
      <c r="E158" s="19"/>
    </row>
    <row r="159" customFormat="false" ht="14.25" hidden="false" customHeight="false" outlineLevel="0" collapsed="false">
      <c r="A159" s="18"/>
      <c r="E159" s="19"/>
    </row>
    <row r="160" customFormat="false" ht="14.25" hidden="false" customHeight="false" outlineLevel="0" collapsed="false">
      <c r="A160" s="18"/>
      <c r="E160" s="19"/>
    </row>
    <row r="161" customFormat="false" ht="14.25" hidden="false" customHeight="false" outlineLevel="0" collapsed="false">
      <c r="A161" s="18"/>
      <c r="E161" s="19"/>
    </row>
    <row r="162" customFormat="false" ht="14.25" hidden="false" customHeight="false" outlineLevel="0" collapsed="false">
      <c r="A162" s="18"/>
      <c r="E162" s="19"/>
    </row>
    <row r="163" customFormat="false" ht="14.25" hidden="false" customHeight="false" outlineLevel="0" collapsed="false">
      <c r="A163" s="18"/>
      <c r="E163" s="19"/>
    </row>
    <row r="164" customFormat="false" ht="14.25" hidden="false" customHeight="false" outlineLevel="0" collapsed="false">
      <c r="A164" s="18"/>
      <c r="E164" s="19"/>
    </row>
    <row r="165" customFormat="false" ht="14.25" hidden="false" customHeight="false" outlineLevel="0" collapsed="false">
      <c r="A165" s="18"/>
      <c r="E165" s="19"/>
    </row>
    <row r="166" customFormat="false" ht="14.25" hidden="false" customHeight="false" outlineLevel="0" collapsed="false">
      <c r="A166" s="18"/>
      <c r="E166" s="19"/>
    </row>
    <row r="167" customFormat="false" ht="14.25" hidden="false" customHeight="false" outlineLevel="0" collapsed="false">
      <c r="A167" s="18"/>
      <c r="E167" s="19"/>
    </row>
    <row r="168" customFormat="false" ht="14.25" hidden="false" customHeight="false" outlineLevel="0" collapsed="false">
      <c r="A168" s="18"/>
      <c r="E168" s="19"/>
    </row>
    <row r="169" customFormat="false" ht="14.25" hidden="false" customHeight="false" outlineLevel="0" collapsed="false">
      <c r="A169" s="18"/>
      <c r="E169" s="19"/>
    </row>
    <row r="170" customFormat="false" ht="14.25" hidden="false" customHeight="false" outlineLevel="0" collapsed="false">
      <c r="A170" s="18"/>
      <c r="E170" s="19"/>
    </row>
    <row r="171" customFormat="false" ht="14.25" hidden="false" customHeight="false" outlineLevel="0" collapsed="false">
      <c r="A171" s="18"/>
      <c r="E171" s="19"/>
    </row>
    <row r="172" customFormat="false" ht="14.25" hidden="false" customHeight="false" outlineLevel="0" collapsed="false">
      <c r="A172" s="18"/>
      <c r="E172" s="19"/>
    </row>
    <row r="173" customFormat="false" ht="14.25" hidden="false" customHeight="false" outlineLevel="0" collapsed="false">
      <c r="A173" s="18"/>
      <c r="E173" s="19"/>
    </row>
    <row r="174" customFormat="false" ht="14.25" hidden="false" customHeight="false" outlineLevel="0" collapsed="false">
      <c r="A174" s="18"/>
      <c r="E174" s="19"/>
    </row>
    <row r="175" customFormat="false" ht="14.25" hidden="false" customHeight="false" outlineLevel="0" collapsed="false">
      <c r="A175" s="18"/>
      <c r="E175" s="19"/>
    </row>
    <row r="176" customFormat="false" ht="14.25" hidden="false" customHeight="false" outlineLevel="0" collapsed="false">
      <c r="A176" s="18"/>
      <c r="E176" s="19"/>
    </row>
    <row r="177" customFormat="false" ht="14.25" hidden="false" customHeight="false" outlineLevel="0" collapsed="false">
      <c r="A177" s="18"/>
      <c r="E177" s="19"/>
    </row>
    <row r="178" customFormat="false" ht="14.25" hidden="false" customHeight="false" outlineLevel="0" collapsed="false">
      <c r="A178" s="18"/>
      <c r="E178" s="19"/>
    </row>
    <row r="179" customFormat="false" ht="14.25" hidden="false" customHeight="false" outlineLevel="0" collapsed="false">
      <c r="A179" s="18"/>
      <c r="E179" s="19"/>
    </row>
    <row r="180" customFormat="false" ht="14.25" hidden="false" customHeight="false" outlineLevel="0" collapsed="false">
      <c r="A180" s="18"/>
      <c r="E180" s="19"/>
    </row>
    <row r="181" customFormat="false" ht="14.25" hidden="false" customHeight="false" outlineLevel="0" collapsed="false">
      <c r="A181" s="18"/>
      <c r="E181" s="19"/>
    </row>
    <row r="182" customFormat="false" ht="14.25" hidden="false" customHeight="false" outlineLevel="0" collapsed="false">
      <c r="A182" s="18"/>
      <c r="E182" s="19"/>
    </row>
    <row r="183" customFormat="false" ht="14.25" hidden="false" customHeight="false" outlineLevel="0" collapsed="false">
      <c r="A183" s="18"/>
      <c r="E183" s="19"/>
    </row>
    <row r="184" customFormat="false" ht="14.25" hidden="false" customHeight="false" outlineLevel="0" collapsed="false">
      <c r="A184" s="18"/>
      <c r="E184" s="19"/>
    </row>
    <row r="185" customFormat="false" ht="14.25" hidden="false" customHeight="false" outlineLevel="0" collapsed="false">
      <c r="A185" s="18"/>
      <c r="E185" s="19"/>
    </row>
    <row r="186" customFormat="false" ht="14.25" hidden="false" customHeight="false" outlineLevel="0" collapsed="false">
      <c r="A186" s="18"/>
      <c r="E186" s="19"/>
    </row>
    <row r="187" customFormat="false" ht="14.25" hidden="false" customHeight="false" outlineLevel="0" collapsed="false">
      <c r="A187" s="18"/>
      <c r="E187" s="19"/>
    </row>
    <row r="188" customFormat="false" ht="14.25" hidden="false" customHeight="false" outlineLevel="0" collapsed="false">
      <c r="A188" s="18"/>
      <c r="E188" s="19"/>
    </row>
    <row r="189" customFormat="false" ht="14.25" hidden="false" customHeight="false" outlineLevel="0" collapsed="false">
      <c r="A189" s="18"/>
      <c r="E189" s="19"/>
    </row>
    <row r="190" customFormat="false" ht="14.25" hidden="false" customHeight="false" outlineLevel="0" collapsed="false">
      <c r="A190" s="18"/>
      <c r="E190" s="19"/>
    </row>
    <row r="191" customFormat="false" ht="14.25" hidden="false" customHeight="false" outlineLevel="0" collapsed="false">
      <c r="A191" s="18"/>
      <c r="E191" s="19"/>
    </row>
    <row r="192" customFormat="false" ht="14.25" hidden="false" customHeight="false" outlineLevel="0" collapsed="false">
      <c r="A192" s="18"/>
      <c r="E192" s="19"/>
    </row>
    <row r="193" customFormat="false" ht="14.25" hidden="false" customHeight="false" outlineLevel="0" collapsed="false">
      <c r="A193" s="18"/>
      <c r="E193" s="19"/>
    </row>
    <row r="194" customFormat="false" ht="14.25" hidden="false" customHeight="false" outlineLevel="0" collapsed="false">
      <c r="A194" s="18"/>
      <c r="E194" s="19"/>
    </row>
    <row r="195" customFormat="false" ht="14.25" hidden="false" customHeight="false" outlineLevel="0" collapsed="false">
      <c r="A195" s="18"/>
      <c r="E195" s="19"/>
    </row>
    <row r="196" customFormat="false" ht="14.25" hidden="false" customHeight="false" outlineLevel="0" collapsed="false">
      <c r="A196" s="18"/>
      <c r="E196" s="19"/>
    </row>
    <row r="197" customFormat="false" ht="14.25" hidden="false" customHeight="false" outlineLevel="0" collapsed="false">
      <c r="A197" s="18"/>
      <c r="E197" s="19"/>
    </row>
    <row r="198" customFormat="false" ht="14.25" hidden="false" customHeight="false" outlineLevel="0" collapsed="false">
      <c r="A198" s="18"/>
      <c r="E198" s="19"/>
    </row>
    <row r="199" customFormat="false" ht="14.25" hidden="false" customHeight="false" outlineLevel="0" collapsed="false">
      <c r="A199" s="18"/>
      <c r="E199" s="19"/>
    </row>
    <row r="200" customFormat="false" ht="14.25" hidden="false" customHeight="false" outlineLevel="0" collapsed="false">
      <c r="A200" s="18"/>
      <c r="E200" s="19"/>
    </row>
    <row r="201" customFormat="false" ht="14.25" hidden="false" customHeight="false" outlineLevel="0" collapsed="false">
      <c r="A201" s="18"/>
      <c r="E201" s="19"/>
    </row>
    <row r="202" customFormat="false" ht="14.25" hidden="false" customHeight="false" outlineLevel="0" collapsed="false">
      <c r="A202" s="18"/>
      <c r="E202" s="19"/>
    </row>
    <row r="203" customFormat="false" ht="14.25" hidden="false" customHeight="false" outlineLevel="0" collapsed="false">
      <c r="A203" s="18"/>
      <c r="E203" s="19"/>
    </row>
    <row r="204" customFormat="false" ht="14.25" hidden="false" customHeight="false" outlineLevel="0" collapsed="false">
      <c r="A204" s="18"/>
      <c r="E204" s="19"/>
    </row>
    <row r="205" customFormat="false" ht="14.25" hidden="false" customHeight="false" outlineLevel="0" collapsed="false">
      <c r="A205" s="18"/>
      <c r="E205" s="19"/>
    </row>
    <row r="206" customFormat="false" ht="14.25" hidden="false" customHeight="false" outlineLevel="0" collapsed="false">
      <c r="A206" s="18"/>
      <c r="E206" s="19"/>
    </row>
    <row r="207" customFormat="false" ht="14.25" hidden="false" customHeight="false" outlineLevel="0" collapsed="false">
      <c r="A207" s="18"/>
      <c r="E207" s="19"/>
    </row>
    <row r="208" customFormat="false" ht="14.25" hidden="false" customHeight="false" outlineLevel="0" collapsed="false">
      <c r="A208" s="18"/>
      <c r="E208" s="19"/>
    </row>
    <row r="209" customFormat="false" ht="14.25" hidden="false" customHeight="false" outlineLevel="0" collapsed="false">
      <c r="A209" s="18"/>
      <c r="E209" s="19"/>
    </row>
    <row r="210" customFormat="false" ht="14.25" hidden="false" customHeight="false" outlineLevel="0" collapsed="false">
      <c r="A210" s="18"/>
      <c r="E210" s="19"/>
    </row>
    <row r="211" customFormat="false" ht="14.25" hidden="false" customHeight="false" outlineLevel="0" collapsed="false">
      <c r="A211" s="18"/>
      <c r="E211" s="19"/>
    </row>
    <row r="212" customFormat="false" ht="14.25" hidden="false" customHeight="false" outlineLevel="0" collapsed="false">
      <c r="A212" s="18"/>
      <c r="E212" s="19"/>
    </row>
    <row r="213" customFormat="false" ht="14.25" hidden="false" customHeight="false" outlineLevel="0" collapsed="false">
      <c r="A213" s="18"/>
      <c r="E213" s="19"/>
    </row>
    <row r="214" customFormat="false" ht="14.25" hidden="false" customHeight="false" outlineLevel="0" collapsed="false">
      <c r="A214" s="18"/>
      <c r="E214" s="19"/>
    </row>
    <row r="215" customFormat="false" ht="14.25" hidden="false" customHeight="false" outlineLevel="0" collapsed="false">
      <c r="A215" s="18"/>
      <c r="E215" s="19"/>
    </row>
    <row r="216" customFormat="false" ht="14.25" hidden="false" customHeight="false" outlineLevel="0" collapsed="false">
      <c r="A216" s="18"/>
      <c r="E216" s="19"/>
    </row>
    <row r="217" customFormat="false" ht="14.25" hidden="false" customHeight="false" outlineLevel="0" collapsed="false">
      <c r="A217" s="18"/>
      <c r="E217" s="19"/>
    </row>
    <row r="218" customFormat="false" ht="14.25" hidden="false" customHeight="false" outlineLevel="0" collapsed="false">
      <c r="A218" s="18"/>
      <c r="E218" s="19"/>
    </row>
    <row r="219" customFormat="false" ht="14.25" hidden="false" customHeight="false" outlineLevel="0" collapsed="false">
      <c r="A219" s="18"/>
      <c r="E219" s="19"/>
    </row>
    <row r="220" customFormat="false" ht="14.25" hidden="false" customHeight="false" outlineLevel="0" collapsed="false">
      <c r="A220" s="18"/>
      <c r="E220" s="19"/>
    </row>
    <row r="221" customFormat="false" ht="14.25" hidden="false" customHeight="false" outlineLevel="0" collapsed="false">
      <c r="A221" s="18"/>
      <c r="E221" s="19"/>
    </row>
    <row r="222" customFormat="false" ht="14.25" hidden="false" customHeight="false" outlineLevel="0" collapsed="false">
      <c r="A222" s="18"/>
      <c r="E222" s="19"/>
    </row>
    <row r="223" customFormat="false" ht="14.25" hidden="false" customHeight="false" outlineLevel="0" collapsed="false">
      <c r="A223" s="18"/>
      <c r="E223" s="19"/>
    </row>
    <row r="224" customFormat="false" ht="14.25" hidden="false" customHeight="false" outlineLevel="0" collapsed="false">
      <c r="A224" s="18"/>
      <c r="E224" s="19"/>
    </row>
    <row r="225" customFormat="false" ht="14.25" hidden="false" customHeight="false" outlineLevel="0" collapsed="false">
      <c r="A225" s="18"/>
      <c r="E225" s="19"/>
    </row>
    <row r="226" customFormat="false" ht="14.25" hidden="false" customHeight="false" outlineLevel="0" collapsed="false">
      <c r="A226" s="18"/>
      <c r="E226" s="19"/>
    </row>
    <row r="227" customFormat="false" ht="14.25" hidden="false" customHeight="false" outlineLevel="0" collapsed="false">
      <c r="A227" s="18"/>
      <c r="E227" s="19"/>
    </row>
    <row r="228" customFormat="false" ht="14.25" hidden="false" customHeight="false" outlineLevel="0" collapsed="false">
      <c r="A228" s="18"/>
      <c r="E228" s="19"/>
    </row>
    <row r="229" customFormat="false" ht="14.25" hidden="false" customHeight="false" outlineLevel="0" collapsed="false">
      <c r="A229" s="18"/>
      <c r="E229" s="19"/>
    </row>
    <row r="230" customFormat="false" ht="14.25" hidden="false" customHeight="false" outlineLevel="0" collapsed="false">
      <c r="A230" s="18"/>
      <c r="E230" s="19"/>
    </row>
    <row r="231" customFormat="false" ht="14.25" hidden="false" customHeight="false" outlineLevel="0" collapsed="false">
      <c r="A231" s="18"/>
      <c r="E231" s="19"/>
    </row>
    <row r="232" customFormat="false" ht="14.25" hidden="false" customHeight="false" outlineLevel="0" collapsed="false">
      <c r="A232" s="18"/>
      <c r="E232" s="19"/>
    </row>
    <row r="233" customFormat="false" ht="14.25" hidden="false" customHeight="false" outlineLevel="0" collapsed="false">
      <c r="A233" s="18"/>
      <c r="E233" s="19"/>
    </row>
    <row r="234" customFormat="false" ht="14.25" hidden="false" customHeight="false" outlineLevel="0" collapsed="false">
      <c r="A234" s="18"/>
      <c r="E234" s="19"/>
    </row>
    <row r="235" customFormat="false" ht="14.25" hidden="false" customHeight="false" outlineLevel="0" collapsed="false">
      <c r="A235" s="18"/>
      <c r="E235" s="19"/>
    </row>
    <row r="236" customFormat="false" ht="14.25" hidden="false" customHeight="false" outlineLevel="0" collapsed="false">
      <c r="A236" s="18"/>
      <c r="E236" s="19"/>
    </row>
    <row r="237" customFormat="false" ht="14.25" hidden="false" customHeight="false" outlineLevel="0" collapsed="false">
      <c r="A237" s="18"/>
      <c r="E237" s="19"/>
    </row>
    <row r="238" customFormat="false" ht="14.25" hidden="false" customHeight="false" outlineLevel="0" collapsed="false">
      <c r="A238" s="18"/>
      <c r="E238" s="19"/>
    </row>
    <row r="239" customFormat="false" ht="14.25" hidden="false" customHeight="false" outlineLevel="0" collapsed="false">
      <c r="A239" s="18"/>
      <c r="E239" s="19"/>
    </row>
    <row r="240" customFormat="false" ht="14.25" hidden="false" customHeight="false" outlineLevel="0" collapsed="false">
      <c r="A240" s="18"/>
      <c r="E240" s="19"/>
    </row>
    <row r="241" customFormat="false" ht="14.25" hidden="false" customHeight="false" outlineLevel="0" collapsed="false">
      <c r="A241" s="18"/>
      <c r="E241" s="19"/>
    </row>
    <row r="242" customFormat="false" ht="14.25" hidden="false" customHeight="false" outlineLevel="0" collapsed="false">
      <c r="A242" s="18"/>
      <c r="E242" s="19"/>
    </row>
    <row r="243" customFormat="false" ht="14.25" hidden="false" customHeight="false" outlineLevel="0" collapsed="false">
      <c r="A243" s="18"/>
      <c r="E243" s="19"/>
    </row>
    <row r="244" customFormat="false" ht="14.25" hidden="false" customHeight="false" outlineLevel="0" collapsed="false">
      <c r="A244" s="18"/>
      <c r="E244" s="19"/>
    </row>
    <row r="245" customFormat="false" ht="14.25" hidden="false" customHeight="false" outlineLevel="0" collapsed="false">
      <c r="A245" s="18"/>
      <c r="E245" s="19"/>
    </row>
    <row r="246" customFormat="false" ht="14.25" hidden="false" customHeight="false" outlineLevel="0" collapsed="false">
      <c r="A246" s="18"/>
      <c r="E246" s="19"/>
    </row>
    <row r="247" customFormat="false" ht="14.25" hidden="false" customHeight="false" outlineLevel="0" collapsed="false">
      <c r="A247" s="18"/>
      <c r="E247" s="19"/>
    </row>
    <row r="248" customFormat="false" ht="14.25" hidden="false" customHeight="false" outlineLevel="0" collapsed="false">
      <c r="A248" s="18"/>
      <c r="E248" s="19"/>
    </row>
    <row r="249" customFormat="false" ht="14.25" hidden="false" customHeight="false" outlineLevel="0" collapsed="false">
      <c r="A249" s="18"/>
      <c r="E249" s="19"/>
    </row>
    <row r="250" customFormat="false" ht="14.25" hidden="false" customHeight="false" outlineLevel="0" collapsed="false">
      <c r="A250" s="18"/>
      <c r="E250" s="19"/>
    </row>
    <row r="251" customFormat="false" ht="14.25" hidden="false" customHeight="false" outlineLevel="0" collapsed="false">
      <c r="A251" s="18"/>
      <c r="E251" s="19"/>
    </row>
    <row r="252" customFormat="false" ht="14.25" hidden="false" customHeight="false" outlineLevel="0" collapsed="false">
      <c r="A252" s="18"/>
      <c r="E252" s="19"/>
    </row>
    <row r="253" customFormat="false" ht="14.25" hidden="false" customHeight="false" outlineLevel="0" collapsed="false">
      <c r="A253" s="18"/>
      <c r="E253" s="19"/>
    </row>
    <row r="254" customFormat="false" ht="14.25" hidden="false" customHeight="false" outlineLevel="0" collapsed="false">
      <c r="A254" s="18"/>
      <c r="E254" s="19"/>
    </row>
    <row r="255" customFormat="false" ht="14.25" hidden="false" customHeight="false" outlineLevel="0" collapsed="false">
      <c r="A255" s="18"/>
      <c r="E255" s="19"/>
    </row>
    <row r="256" customFormat="false" ht="14.25" hidden="false" customHeight="false" outlineLevel="0" collapsed="false">
      <c r="A256" s="18"/>
      <c r="E256" s="19"/>
    </row>
    <row r="257" customFormat="false" ht="14.25" hidden="false" customHeight="false" outlineLevel="0" collapsed="false">
      <c r="A257" s="18"/>
      <c r="E257" s="19"/>
    </row>
    <row r="258" customFormat="false" ht="14.25" hidden="false" customHeight="false" outlineLevel="0" collapsed="false">
      <c r="A258" s="18"/>
      <c r="E258" s="19"/>
    </row>
    <row r="259" customFormat="false" ht="14.25" hidden="false" customHeight="false" outlineLevel="0" collapsed="false">
      <c r="A259" s="18"/>
      <c r="E259" s="19"/>
    </row>
    <row r="260" customFormat="false" ht="14.25" hidden="false" customHeight="false" outlineLevel="0" collapsed="false">
      <c r="A260" s="18"/>
      <c r="E260" s="19"/>
    </row>
    <row r="261" customFormat="false" ht="14.25" hidden="false" customHeight="false" outlineLevel="0" collapsed="false">
      <c r="A261" s="18"/>
      <c r="E261" s="19"/>
    </row>
    <row r="262" customFormat="false" ht="14.25" hidden="false" customHeight="false" outlineLevel="0" collapsed="false">
      <c r="A262" s="18"/>
      <c r="E262" s="19"/>
    </row>
    <row r="263" customFormat="false" ht="14.25" hidden="false" customHeight="false" outlineLevel="0" collapsed="false">
      <c r="A263" s="18"/>
      <c r="E263" s="19"/>
    </row>
    <row r="264" customFormat="false" ht="14.25" hidden="false" customHeight="false" outlineLevel="0" collapsed="false">
      <c r="A264" s="18"/>
      <c r="E264" s="19"/>
    </row>
    <row r="265" customFormat="false" ht="14.25" hidden="false" customHeight="false" outlineLevel="0" collapsed="false">
      <c r="A265" s="18"/>
      <c r="E265" s="19"/>
    </row>
    <row r="266" customFormat="false" ht="14.25" hidden="false" customHeight="false" outlineLevel="0" collapsed="false">
      <c r="A266" s="18"/>
      <c r="E266" s="19"/>
    </row>
    <row r="267" customFormat="false" ht="14.25" hidden="false" customHeight="false" outlineLevel="0" collapsed="false">
      <c r="A267" s="18"/>
      <c r="E267" s="19"/>
    </row>
    <row r="268" customFormat="false" ht="14.25" hidden="false" customHeight="false" outlineLevel="0" collapsed="false">
      <c r="A268" s="18"/>
      <c r="E268" s="19"/>
    </row>
    <row r="269" customFormat="false" ht="14.25" hidden="false" customHeight="false" outlineLevel="0" collapsed="false">
      <c r="A269" s="18"/>
      <c r="E269" s="19"/>
    </row>
    <row r="270" customFormat="false" ht="14.25" hidden="false" customHeight="false" outlineLevel="0" collapsed="false">
      <c r="A270" s="18"/>
      <c r="E270" s="19"/>
    </row>
    <row r="271" customFormat="false" ht="14.25" hidden="false" customHeight="false" outlineLevel="0" collapsed="false">
      <c r="A271" s="18"/>
      <c r="E271" s="19"/>
    </row>
    <row r="272" customFormat="false" ht="14.25" hidden="false" customHeight="false" outlineLevel="0" collapsed="false">
      <c r="A272" s="18"/>
      <c r="E272" s="19"/>
    </row>
    <row r="273" customFormat="false" ht="14.25" hidden="false" customHeight="false" outlineLevel="0" collapsed="false">
      <c r="A273" s="18"/>
      <c r="E273" s="19"/>
    </row>
    <row r="274" customFormat="false" ht="14.25" hidden="false" customHeight="false" outlineLevel="0" collapsed="false">
      <c r="A274" s="18"/>
      <c r="E274" s="19"/>
    </row>
    <row r="275" customFormat="false" ht="14.25" hidden="false" customHeight="false" outlineLevel="0" collapsed="false">
      <c r="A275" s="18"/>
      <c r="E275" s="19"/>
    </row>
    <row r="276" customFormat="false" ht="14.25" hidden="false" customHeight="false" outlineLevel="0" collapsed="false">
      <c r="A276" s="18"/>
      <c r="E276" s="19"/>
    </row>
    <row r="277" customFormat="false" ht="14.25" hidden="false" customHeight="false" outlineLevel="0" collapsed="false">
      <c r="A277" s="18"/>
      <c r="E277" s="19"/>
    </row>
    <row r="278" customFormat="false" ht="14.25" hidden="false" customHeight="false" outlineLevel="0" collapsed="false">
      <c r="A278" s="18"/>
      <c r="E278" s="19"/>
    </row>
    <row r="279" customFormat="false" ht="14.25" hidden="false" customHeight="false" outlineLevel="0" collapsed="false">
      <c r="A279" s="18"/>
      <c r="E279" s="18"/>
    </row>
    <row r="280" customFormat="false" ht="14.25" hidden="false" customHeight="false" outlineLevel="0" collapsed="false">
      <c r="A280" s="18"/>
      <c r="E280" s="18"/>
    </row>
    <row r="281" customFormat="false" ht="14.25" hidden="false" customHeight="false" outlineLevel="0" collapsed="false">
      <c r="A281" s="18"/>
      <c r="E281" s="18"/>
    </row>
    <row r="282" customFormat="false" ht="14.25" hidden="false" customHeight="false" outlineLevel="0" collapsed="false">
      <c r="A282" s="18"/>
      <c r="E282" s="18"/>
    </row>
    <row r="283" customFormat="false" ht="14.25" hidden="false" customHeight="false" outlineLevel="0" collapsed="false">
      <c r="A283" s="18"/>
      <c r="E283" s="18"/>
    </row>
    <row r="284" customFormat="false" ht="14.25" hidden="false" customHeight="false" outlineLevel="0" collapsed="false">
      <c r="A284" s="18"/>
      <c r="E284" s="18"/>
    </row>
    <row r="285" customFormat="false" ht="14.25" hidden="false" customHeight="false" outlineLevel="0" collapsed="false">
      <c r="A285" s="18"/>
      <c r="E285" s="18"/>
    </row>
    <row r="286" customFormat="false" ht="14.25" hidden="false" customHeight="false" outlineLevel="0" collapsed="false">
      <c r="A286" s="18"/>
      <c r="E286" s="18"/>
    </row>
    <row r="287" customFormat="false" ht="14.25" hidden="false" customHeight="false" outlineLevel="0" collapsed="false">
      <c r="A287" s="18"/>
      <c r="E287" s="18"/>
    </row>
    <row r="288" customFormat="false" ht="14.25" hidden="false" customHeight="false" outlineLevel="0" collapsed="false">
      <c r="A288" s="18"/>
      <c r="E288" s="18"/>
    </row>
    <row r="289" customFormat="false" ht="14.25" hidden="false" customHeight="false" outlineLevel="0" collapsed="false">
      <c r="A289" s="18"/>
      <c r="E289" s="18"/>
    </row>
    <row r="290" customFormat="false" ht="14.25" hidden="false" customHeight="false" outlineLevel="0" collapsed="false">
      <c r="A290" s="18"/>
      <c r="E290" s="18"/>
    </row>
    <row r="291" customFormat="false" ht="14.25" hidden="false" customHeight="false" outlineLevel="0" collapsed="false">
      <c r="A291" s="18"/>
      <c r="E291" s="18"/>
    </row>
    <row r="292" customFormat="false" ht="14.25" hidden="false" customHeight="false" outlineLevel="0" collapsed="false">
      <c r="A292" s="18"/>
      <c r="E292" s="18"/>
    </row>
    <row r="293" customFormat="false" ht="14.25" hidden="false" customHeight="false" outlineLevel="0" collapsed="false">
      <c r="A293" s="18"/>
      <c r="E293" s="18"/>
    </row>
    <row r="294" customFormat="false" ht="14.25" hidden="false" customHeight="false" outlineLevel="0" collapsed="false">
      <c r="A294" s="18"/>
      <c r="E294" s="18"/>
    </row>
    <row r="295" customFormat="false" ht="14.25" hidden="false" customHeight="false" outlineLevel="0" collapsed="false">
      <c r="A295" s="18"/>
      <c r="E295" s="18"/>
    </row>
    <row r="296" customFormat="false" ht="14.25" hidden="false" customHeight="false" outlineLevel="0" collapsed="false">
      <c r="A296" s="18"/>
      <c r="E296" s="18"/>
    </row>
    <row r="297" customFormat="false" ht="14.25" hidden="false" customHeight="false" outlineLevel="0" collapsed="false">
      <c r="A297" s="18"/>
      <c r="E297" s="18"/>
    </row>
    <row r="298" customFormat="false" ht="14.25" hidden="false" customHeight="false" outlineLevel="0" collapsed="false">
      <c r="A298" s="18"/>
      <c r="E298" s="18"/>
    </row>
    <row r="299" customFormat="false" ht="14.25" hidden="false" customHeight="false" outlineLevel="0" collapsed="false">
      <c r="A299" s="18"/>
      <c r="E299" s="18"/>
    </row>
    <row r="300" customFormat="false" ht="14.25" hidden="false" customHeight="false" outlineLevel="0" collapsed="false">
      <c r="A300" s="18"/>
      <c r="E300" s="18"/>
    </row>
    <row r="301" customFormat="false" ht="14.25" hidden="false" customHeight="false" outlineLevel="0" collapsed="false">
      <c r="A301" s="18"/>
      <c r="E301" s="18"/>
    </row>
    <row r="302" customFormat="false" ht="14.25" hidden="false" customHeight="false" outlineLevel="0" collapsed="false">
      <c r="A302" s="18"/>
      <c r="E302" s="18"/>
    </row>
    <row r="303" customFormat="false" ht="14.25" hidden="false" customHeight="false" outlineLevel="0" collapsed="false">
      <c r="A303" s="18"/>
      <c r="E303" s="18"/>
    </row>
    <row r="304" customFormat="false" ht="14.25" hidden="false" customHeight="false" outlineLevel="0" collapsed="false">
      <c r="A304" s="18"/>
      <c r="E304" s="18"/>
    </row>
    <row r="305" customFormat="false" ht="14.25" hidden="false" customHeight="false" outlineLevel="0" collapsed="false">
      <c r="A305" s="18"/>
      <c r="E305" s="18"/>
    </row>
    <row r="306" customFormat="false" ht="14.25" hidden="false" customHeight="false" outlineLevel="0" collapsed="false">
      <c r="A306" s="18"/>
      <c r="E306" s="18"/>
    </row>
    <row r="307" customFormat="false" ht="14.25" hidden="false" customHeight="false" outlineLevel="0" collapsed="false">
      <c r="A307" s="18"/>
      <c r="E307" s="18"/>
    </row>
    <row r="308" customFormat="false" ht="14.25" hidden="false" customHeight="false" outlineLevel="0" collapsed="false">
      <c r="A308" s="18"/>
      <c r="E308" s="18"/>
    </row>
    <row r="309" customFormat="false" ht="14.25" hidden="false" customHeight="false" outlineLevel="0" collapsed="false">
      <c r="A309" s="18"/>
      <c r="E309" s="18"/>
    </row>
    <row r="310" customFormat="false" ht="14.25" hidden="false" customHeight="false" outlineLevel="0" collapsed="false">
      <c r="A310" s="18"/>
      <c r="E310" s="18"/>
    </row>
    <row r="311" customFormat="false" ht="14.25" hidden="false" customHeight="false" outlineLevel="0" collapsed="false">
      <c r="A311" s="18"/>
      <c r="E311" s="18"/>
    </row>
    <row r="312" customFormat="false" ht="14.25" hidden="false" customHeight="false" outlineLevel="0" collapsed="false">
      <c r="A312" s="18"/>
      <c r="E312" s="18"/>
    </row>
    <row r="313" customFormat="false" ht="14.25" hidden="false" customHeight="false" outlineLevel="0" collapsed="false">
      <c r="A313" s="18"/>
      <c r="E313" s="18"/>
    </row>
    <row r="314" customFormat="false" ht="14.25" hidden="false" customHeight="false" outlineLevel="0" collapsed="false">
      <c r="A314" s="18"/>
      <c r="E314" s="18"/>
    </row>
    <row r="315" customFormat="false" ht="14.25" hidden="false" customHeight="false" outlineLevel="0" collapsed="false">
      <c r="A315" s="18"/>
      <c r="E315" s="18"/>
    </row>
    <row r="316" customFormat="false" ht="14.25" hidden="false" customHeight="false" outlineLevel="0" collapsed="false">
      <c r="A316" s="18"/>
      <c r="E316" s="18"/>
    </row>
    <row r="317" customFormat="false" ht="14.25" hidden="false" customHeight="false" outlineLevel="0" collapsed="false">
      <c r="A317" s="18"/>
      <c r="E317" s="18"/>
    </row>
    <row r="318" customFormat="false" ht="14.25" hidden="false" customHeight="false" outlineLevel="0" collapsed="false">
      <c r="A318" s="18"/>
      <c r="E318" s="18"/>
    </row>
    <row r="319" customFormat="false" ht="14.25" hidden="false" customHeight="false" outlineLevel="0" collapsed="false">
      <c r="A319" s="18"/>
      <c r="E319" s="18"/>
    </row>
    <row r="320" customFormat="false" ht="14.25" hidden="false" customHeight="false" outlineLevel="0" collapsed="false">
      <c r="A320" s="18"/>
      <c r="E320" s="18"/>
    </row>
    <row r="321" customFormat="false" ht="14.25" hidden="false" customHeight="false" outlineLevel="0" collapsed="false">
      <c r="A321" s="18"/>
      <c r="E321" s="18"/>
    </row>
    <row r="322" customFormat="false" ht="14.25" hidden="false" customHeight="false" outlineLevel="0" collapsed="false">
      <c r="A322" s="18"/>
      <c r="E322" s="18"/>
    </row>
    <row r="323" customFormat="false" ht="14.25" hidden="false" customHeight="false" outlineLevel="0" collapsed="false">
      <c r="A323" s="18"/>
      <c r="E323" s="18"/>
    </row>
    <row r="324" customFormat="false" ht="14.25" hidden="false" customHeight="false" outlineLevel="0" collapsed="false">
      <c r="A324" s="18"/>
      <c r="E324" s="18"/>
    </row>
    <row r="325" customFormat="false" ht="14.25" hidden="false" customHeight="false" outlineLevel="0" collapsed="false">
      <c r="A325" s="18"/>
      <c r="E325" s="18"/>
    </row>
    <row r="326" customFormat="false" ht="14.25" hidden="false" customHeight="false" outlineLevel="0" collapsed="false">
      <c r="A326" s="18"/>
      <c r="E326" s="18"/>
    </row>
    <row r="327" customFormat="false" ht="14.25" hidden="false" customHeight="false" outlineLevel="0" collapsed="false">
      <c r="A327" s="18"/>
      <c r="E327" s="18"/>
    </row>
    <row r="328" customFormat="false" ht="14.25" hidden="false" customHeight="false" outlineLevel="0" collapsed="false">
      <c r="A328" s="18"/>
      <c r="E328" s="18"/>
    </row>
    <row r="329" customFormat="false" ht="14.25" hidden="false" customHeight="false" outlineLevel="0" collapsed="false">
      <c r="A329" s="18"/>
      <c r="E329" s="18"/>
    </row>
    <row r="330" customFormat="false" ht="14.25" hidden="false" customHeight="false" outlineLevel="0" collapsed="false">
      <c r="A330" s="18"/>
      <c r="E330" s="18"/>
    </row>
  </sheetData>
  <printOptions headings="false" gridLines="false" gridLinesSet="true" horizontalCentered="true" verticalCentered="true"/>
  <pageMargins left="0" right="0" top="0" bottom="0" header="0.511811023622047" footer="0.511811023622047"/>
  <pageSetup paperSize="9" scale="12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2026-10-12T14:37:08Z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